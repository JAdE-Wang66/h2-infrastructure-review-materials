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esktop\氢能重卡 - 副本\"/>
    </mc:Choice>
  </mc:AlternateContent>
  <xr:revisionPtr revIDLastSave="0" documentId="13_ncr:1_{F0B7F30B-F08F-4B3C-B9E4-A17A5DD8801A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4" i="1" l="1"/>
  <c r="S94" i="1"/>
  <c r="S72" i="1"/>
  <c r="S28" i="1"/>
  <c r="S27" i="1"/>
  <c r="T50" i="1"/>
  <c r="S50" i="1"/>
  <c r="T94" i="1"/>
  <c r="U94" i="1"/>
  <c r="V92" i="1" s="1"/>
  <c r="V70" i="1"/>
  <c r="S70" i="1"/>
  <c r="T70" i="1"/>
  <c r="T140" i="1"/>
  <c r="S140" i="1"/>
  <c r="U140" i="1"/>
  <c r="T139" i="1"/>
  <c r="S139" i="1"/>
  <c r="T138" i="1"/>
  <c r="S138" i="1"/>
  <c r="T118" i="1"/>
  <c r="S118" i="1"/>
  <c r="T117" i="1"/>
  <c r="S117" i="1"/>
  <c r="T116" i="1"/>
  <c r="S116" i="1"/>
  <c r="T6" i="1"/>
  <c r="U139" i="1" l="1"/>
  <c r="U138" i="1"/>
  <c r="U118" i="1"/>
  <c r="V116" i="1" s="1"/>
  <c r="U116" i="1"/>
  <c r="U117" i="1"/>
  <c r="T28" i="1"/>
  <c r="T49" i="1"/>
  <c r="S49" i="1"/>
  <c r="V138" i="1" l="1"/>
  <c r="U50" i="1"/>
  <c r="T72" i="1"/>
  <c r="T93" i="1"/>
  <c r="S93" i="1"/>
  <c r="T92" i="1"/>
  <c r="S92" i="1"/>
  <c r="T4" i="1"/>
  <c r="S4" i="1"/>
  <c r="T71" i="1"/>
  <c r="S71" i="1"/>
  <c r="T48" i="1"/>
  <c r="S48" i="1"/>
  <c r="T27" i="1"/>
  <c r="T26" i="1"/>
  <c r="S26" i="1"/>
  <c r="S6" i="1"/>
  <c r="T5" i="1"/>
  <c r="S5" i="1"/>
  <c r="U4" i="1" l="1"/>
  <c r="U72" i="1"/>
  <c r="U70" i="1"/>
  <c r="U93" i="1"/>
  <c r="U92" i="1"/>
  <c r="U71" i="1"/>
  <c r="U49" i="1"/>
  <c r="U48" i="1"/>
  <c r="U28" i="1"/>
  <c r="U27" i="1"/>
  <c r="U26" i="1"/>
  <c r="U5" i="1"/>
  <c r="U6" i="1"/>
  <c r="V48" i="1" l="1"/>
  <c r="V4" i="1"/>
  <c r="V26" i="1"/>
</calcChain>
</file>

<file path=xl/sharedStrings.xml><?xml version="1.0" encoding="utf-8"?>
<sst xmlns="http://schemas.openxmlformats.org/spreadsheetml/2006/main" count="297" uniqueCount="69">
  <si>
    <t>obj1_best_robust</t>
    <phoneticPr fontId="1" type="noConversion"/>
  </si>
  <si>
    <t>obj2_best_robust</t>
  </si>
  <si>
    <t>obj3_best_robust</t>
  </si>
  <si>
    <t xml:space="preserve"> </t>
    <phoneticPr fontId="1" type="noConversion"/>
  </si>
  <si>
    <t>obj1_best_robust_sce1</t>
    <phoneticPr fontId="1" type="noConversion"/>
  </si>
  <si>
    <t>obj2_best_robust_sce1</t>
    <phoneticPr fontId="1" type="noConversion"/>
  </si>
  <si>
    <t>obj3_best_robust_sce1</t>
    <phoneticPr fontId="1" type="noConversion"/>
  </si>
  <si>
    <t>obj2_best_robust_sce2</t>
    <phoneticPr fontId="1" type="noConversion"/>
  </si>
  <si>
    <t>obj3_best_robust_sce3</t>
    <phoneticPr fontId="1" type="noConversion"/>
  </si>
  <si>
    <t>obj1_best_robust_sce2</t>
    <phoneticPr fontId="1" type="noConversion"/>
  </si>
  <si>
    <t>obj3_best_robust_sce2</t>
    <phoneticPr fontId="1" type="noConversion"/>
  </si>
  <si>
    <t>obj1_best_robust_sce3</t>
    <phoneticPr fontId="1" type="noConversion"/>
  </si>
  <si>
    <t>obj2_best_robust_sce3</t>
    <phoneticPr fontId="1" type="noConversion"/>
  </si>
  <si>
    <t>obj1_worst_robust</t>
    <phoneticPr fontId="1" type="noConversion"/>
  </si>
  <si>
    <t>obj2_worst_robust</t>
  </si>
  <si>
    <t>obj3_worst_robust</t>
  </si>
  <si>
    <t>obj1_worst_robust_sce1</t>
    <phoneticPr fontId="1" type="noConversion"/>
  </si>
  <si>
    <t>obj2_worst_robust_sce2</t>
    <phoneticPr fontId="1" type="noConversion"/>
  </si>
  <si>
    <t>obj3_worst_robust_sce3</t>
    <phoneticPr fontId="1" type="noConversion"/>
  </si>
  <si>
    <t>obj2_worst_robust_sce1</t>
    <phoneticPr fontId="1" type="noConversion"/>
  </si>
  <si>
    <t>obj3_worst_robust_sce1</t>
    <phoneticPr fontId="1" type="noConversion"/>
  </si>
  <si>
    <t>obj1_worst_robust_sce2</t>
    <phoneticPr fontId="1" type="noConversion"/>
  </si>
  <si>
    <t>obj3_worst_robust_sce2</t>
    <phoneticPr fontId="1" type="noConversion"/>
  </si>
  <si>
    <t>obj1_worst_robust_sce3</t>
    <phoneticPr fontId="1" type="noConversion"/>
  </si>
  <si>
    <t>obj2_worst_robust_sce3</t>
    <phoneticPr fontId="1" type="noConversion"/>
  </si>
  <si>
    <t>obj1_best_robust_without_uncertainty</t>
    <phoneticPr fontId="1" type="noConversion"/>
  </si>
  <si>
    <t>obj2_best_robust_without_uncertainty</t>
  </si>
  <si>
    <t>obj3_best_robust_without_uncertainty</t>
    <phoneticPr fontId="1" type="noConversion"/>
  </si>
  <si>
    <t>obj1_worst_rrobust_without_uncertainty</t>
    <phoneticPr fontId="1" type="noConversion"/>
  </si>
  <si>
    <t>obj2_worst_robust_without_uncertainty</t>
    <phoneticPr fontId="1" type="noConversion"/>
  </si>
  <si>
    <t>obj3_worst_robust_without_uncertainty</t>
    <phoneticPr fontId="1" type="noConversion"/>
  </si>
  <si>
    <t>10点</t>
    <phoneticPr fontId="1" type="noConversion"/>
  </si>
  <si>
    <t>multobj_best_robust_sce2</t>
    <phoneticPr fontId="1" type="noConversion"/>
  </si>
  <si>
    <t>multobj_best_robust</t>
    <phoneticPr fontId="1" type="noConversion"/>
  </si>
  <si>
    <t>multobj_best_robust_sce1</t>
    <phoneticPr fontId="1" type="noConversion"/>
  </si>
  <si>
    <t>multobj_best_robust_sce3</t>
    <phoneticPr fontId="1" type="noConversion"/>
  </si>
  <si>
    <t>multobj_best_without_uncertainty</t>
    <phoneticPr fontId="1" type="noConversion"/>
  </si>
  <si>
    <t>即多目标权重为1/3,1/3,1/3</t>
    <phoneticPr fontId="1" type="noConversion"/>
  </si>
  <si>
    <t>正理想解</t>
  </si>
  <si>
    <t>负理想解</t>
  </si>
  <si>
    <t>综合目标</t>
    <phoneticPr fontId="1" type="noConversion"/>
  </si>
  <si>
    <t>投资成本净现值</t>
    <phoneticPr fontId="1" type="noConversion"/>
  </si>
  <si>
    <t>社会用能成本</t>
    <phoneticPr fontId="1" type="noConversion"/>
  </si>
  <si>
    <t>碳减排量</t>
    <phoneticPr fontId="1" type="noConversion"/>
  </si>
  <si>
    <t>即多目标权重为0,1,0</t>
    <phoneticPr fontId="1" type="noConversion"/>
  </si>
  <si>
    <t>即多目标权重为0,0,1</t>
    <phoneticPr fontId="1" type="noConversion"/>
  </si>
  <si>
    <t>各目标表现值</t>
    <phoneticPr fontId="1" type="noConversion"/>
  </si>
  <si>
    <t>以目标1为优化目标</t>
    <phoneticPr fontId="1" type="noConversion"/>
  </si>
  <si>
    <t>以目标2为优化目标</t>
    <phoneticPr fontId="1" type="noConversion"/>
  </si>
  <si>
    <t>以目标3为优化目标</t>
    <phoneticPr fontId="1" type="noConversion"/>
  </si>
  <si>
    <t>目标1</t>
    <phoneticPr fontId="1" type="noConversion"/>
  </si>
  <si>
    <t>目标2</t>
    <phoneticPr fontId="1" type="noConversion"/>
  </si>
  <si>
    <t>目标3</t>
    <phoneticPr fontId="1" type="noConversion"/>
  </si>
  <si>
    <t>即多目标权重为-1,0,0</t>
    <phoneticPr fontId="1" type="noConversion"/>
  </si>
  <si>
    <t>即多目标权重为0,-1,0</t>
    <phoneticPr fontId="1" type="noConversion"/>
  </si>
  <si>
    <t>即多目标权重为0,0,-1</t>
    <phoneticPr fontId="1" type="noConversion"/>
  </si>
  <si>
    <t>以负目标1为优化目标</t>
    <phoneticPr fontId="1" type="noConversion"/>
  </si>
  <si>
    <t>以负目标2为优化目标</t>
    <phoneticPr fontId="1" type="noConversion"/>
  </si>
  <si>
    <t>以负目标3为优化目标</t>
    <phoneticPr fontId="1" type="noConversion"/>
  </si>
  <si>
    <t xml:space="preserve">                                                                 c 8,7.</t>
    <phoneticPr fontId="1" type="noConversion"/>
  </si>
  <si>
    <t>77777,,,,,,,,,,,,7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</si>
  <si>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</si>
  <si>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</si>
  <si>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</si>
  <si>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</si>
  <si>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北京现有政策</t>
    <phoneticPr fontId="1" type="noConversion"/>
  </si>
  <si>
    <t xml:space="preserve"> </t>
    <phoneticPr fontId="1" type="noConversion"/>
  </si>
  <si>
    <t xml:space="preserve">  </t>
    <phoneticPr fontId="1" type="noConversion"/>
  </si>
  <si>
    <t>不扩建结果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</si>
</sst>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4" borderId="0" xfId="0" applyFill="1"/>
    <xf numFmtId="177" fontId="0" fillId="3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99"/>
  <sheetViews>
    <sheetView tabSelected="1" topLeftCell="S1" zoomScale="95" zoomScaleNormal="95" workbookViewId="0">
      <selection activeCell="Y17" sqref="Y17"/>
    </sheetView>
  </sheetViews>
  <sheetFormatPr defaultRowHeight="14.25" x14ac:dyDescent="0.2"/>
  <cols>
    <col min="3" max="3" width="29.625" customWidth="1"/>
    <col min="10" max="10" width="25.5" customWidth="1"/>
    <col min="15" max="15" width="18.875" customWidth="1"/>
    <col min="16" max="16" width="20.5" customWidth="1"/>
    <col min="17" max="17" width="20.625" customWidth="1"/>
    <col min="18" max="18" width="18.875" customWidth="1"/>
    <col min="19" max="19" width="11.875" customWidth="1"/>
    <col min="20" max="20" width="11" customWidth="1"/>
    <col min="21" max="21" width="13" customWidth="1"/>
  </cols>
  <sheetData>
    <row r="2" spans="2:26" x14ac:dyDescent="0.2">
      <c r="B2" s="19" t="s">
        <v>3</v>
      </c>
      <c r="C2" s="19"/>
      <c r="D2">
        <v>192500</v>
      </c>
      <c r="E2">
        <v>330930</v>
      </c>
      <c r="F2">
        <v>63996</v>
      </c>
      <c r="H2" s="1"/>
      <c r="I2" s="20" t="s">
        <v>0</v>
      </c>
      <c r="J2" s="20"/>
      <c r="K2" s="6">
        <v>212958.58186368801</v>
      </c>
      <c r="L2" s="6">
        <v>262623.25862500898</v>
      </c>
      <c r="M2" s="6">
        <v>57507.872541092504</v>
      </c>
      <c r="O2" s="7"/>
      <c r="P2" s="7"/>
      <c r="Q2" s="7"/>
      <c r="R2" s="7" t="s">
        <v>37</v>
      </c>
      <c r="S2" s="7"/>
      <c r="T2" s="7"/>
      <c r="U2" s="7"/>
      <c r="V2" s="7"/>
    </row>
    <row r="3" spans="2:26" x14ac:dyDescent="0.2">
      <c r="B3" s="19" t="s">
        <v>1</v>
      </c>
      <c r="C3" s="19"/>
      <c r="D3">
        <v>602670</v>
      </c>
      <c r="E3">
        <v>33921</v>
      </c>
      <c r="F3">
        <v>264760</v>
      </c>
      <c r="H3" s="1"/>
      <c r="I3" s="20" t="s">
        <v>1</v>
      </c>
      <c r="J3" s="20"/>
      <c r="K3" s="6">
        <v>584175.27761914802</v>
      </c>
      <c r="L3" s="6">
        <v>27284.5946412126</v>
      </c>
      <c r="M3" s="6">
        <v>198566.760290184</v>
      </c>
      <c r="O3" s="8"/>
      <c r="P3" s="8" t="s">
        <v>38</v>
      </c>
      <c r="Q3" s="8" t="s">
        <v>39</v>
      </c>
      <c r="R3" s="8" t="s">
        <v>40</v>
      </c>
      <c r="S3" s="7"/>
      <c r="T3" s="7"/>
      <c r="U3" s="7"/>
      <c r="V3" s="7"/>
    </row>
    <row r="4" spans="2:26" x14ac:dyDescent="0.2">
      <c r="B4" s="19" t="s">
        <v>2</v>
      </c>
      <c r="C4" s="19"/>
      <c r="D4">
        <v>602670</v>
      </c>
      <c r="E4">
        <v>354590</v>
      </c>
      <c r="F4">
        <v>264760</v>
      </c>
      <c r="H4" s="1"/>
      <c r="I4" s="20" t="s">
        <v>2</v>
      </c>
      <c r="J4" s="20"/>
      <c r="K4" s="6">
        <v>584175.27761914802</v>
      </c>
      <c r="L4" s="6">
        <v>265531.64790001902</v>
      </c>
      <c r="M4" s="6">
        <v>198566.760290184</v>
      </c>
      <c r="O4" s="8" t="s">
        <v>41</v>
      </c>
      <c r="P4" s="11">
        <v>122857.076963946</v>
      </c>
      <c r="Q4" s="11">
        <v>1247688.5438868699</v>
      </c>
      <c r="R4" s="11">
        <v>144643.56912966</v>
      </c>
      <c r="S4" s="10">
        <f>Q4-P4</f>
        <v>1124831.4669229239</v>
      </c>
      <c r="T4" s="10">
        <f>Q4-R4</f>
        <v>1103044.9747572099</v>
      </c>
      <c r="U4" s="7">
        <f>T4/S4</f>
        <v>0.98063132761984961</v>
      </c>
      <c r="V4" s="7">
        <f>U4/3+U5/3+U6/3</f>
        <v>0.65554441305264555</v>
      </c>
      <c r="W4">
        <v>154638.763996311</v>
      </c>
      <c r="X4" s="11">
        <v>144643.56912966</v>
      </c>
    </row>
    <row r="5" spans="2:26" x14ac:dyDescent="0.2">
      <c r="B5" s="19"/>
      <c r="C5" s="19"/>
      <c r="I5" s="19"/>
      <c r="J5" s="19"/>
      <c r="O5" s="8" t="s">
        <v>42</v>
      </c>
      <c r="P5" s="11">
        <v>19503.143425855302</v>
      </c>
      <c r="Q5" s="11">
        <v>600206.62569591205</v>
      </c>
      <c r="R5" s="11">
        <v>26440.695510515499</v>
      </c>
      <c r="S5" s="10">
        <f>Q5-P5</f>
        <v>580703.48227005673</v>
      </c>
      <c r="T5" s="10">
        <f>Q5-R5</f>
        <v>573765.93018539657</v>
      </c>
      <c r="U5" s="7">
        <f>T5/S5</f>
        <v>0.98805319358936816</v>
      </c>
      <c r="V5" s="7"/>
      <c r="W5">
        <v>3660.2660317236</v>
      </c>
      <c r="X5" s="11">
        <v>26440.695510515499</v>
      </c>
    </row>
    <row r="6" spans="2:26" x14ac:dyDescent="0.2">
      <c r="B6" s="19"/>
      <c r="C6" s="19"/>
      <c r="I6" s="19"/>
      <c r="J6" s="19"/>
      <c r="L6" t="s">
        <v>3</v>
      </c>
      <c r="O6" s="8" t="s">
        <v>43</v>
      </c>
      <c r="P6" s="11">
        <v>74462.535108817596</v>
      </c>
      <c r="Q6" s="11">
        <v>6560.3917015064098</v>
      </c>
      <c r="R6" s="11">
        <v>6421.1052534914697</v>
      </c>
      <c r="S6" s="10">
        <f>P6-Q6</f>
        <v>67902.143407311189</v>
      </c>
      <c r="T6" s="10">
        <f>R6-Q6</f>
        <v>-139.28644801494011</v>
      </c>
      <c r="U6" s="7">
        <f>T6/S6</f>
        <v>-2.0512820512812086E-3</v>
      </c>
      <c r="V6" s="7"/>
      <c r="W6">
        <v>1615.7227969739999</v>
      </c>
      <c r="X6" s="11">
        <v>6421.1052534914697</v>
      </c>
    </row>
    <row r="7" spans="2:26" x14ac:dyDescent="0.2">
      <c r="B7" s="19" t="s">
        <v>4</v>
      </c>
      <c r="C7" s="19"/>
      <c r="D7">
        <v>140120</v>
      </c>
      <c r="E7">
        <v>354730</v>
      </c>
      <c r="F7">
        <v>64057</v>
      </c>
      <c r="H7" s="1"/>
      <c r="I7" s="20" t="s">
        <v>4</v>
      </c>
      <c r="J7" s="20"/>
      <c r="K7" s="6">
        <v>155185.62764067401</v>
      </c>
      <c r="L7" s="6">
        <v>247718.39962630399</v>
      </c>
      <c r="M7" s="6">
        <v>57775.090116961503</v>
      </c>
      <c r="O7" s="7"/>
      <c r="P7" s="10"/>
      <c r="Q7" s="10"/>
      <c r="R7" s="10"/>
      <c r="S7" s="7"/>
      <c r="T7" s="7"/>
      <c r="U7" s="7"/>
      <c r="V7" s="7"/>
    </row>
    <row r="8" spans="2:26" x14ac:dyDescent="0.2">
      <c r="B8" s="19" t="s">
        <v>5</v>
      </c>
      <c r="C8" s="19"/>
      <c r="D8">
        <v>602670</v>
      </c>
      <c r="E8">
        <v>33921</v>
      </c>
      <c r="F8">
        <v>264760</v>
      </c>
      <c r="H8" s="1"/>
      <c r="I8" s="20" t="s">
        <v>5</v>
      </c>
      <c r="J8" s="20"/>
      <c r="K8" s="6">
        <v>584175.27761912905</v>
      </c>
      <c r="L8" s="6">
        <v>27284.5946412126</v>
      </c>
      <c r="M8" s="6">
        <v>198566.760290184</v>
      </c>
      <c r="O8" s="7"/>
      <c r="P8" s="10"/>
      <c r="Q8" s="10"/>
      <c r="R8" s="10"/>
      <c r="S8" s="7"/>
      <c r="T8" s="7"/>
      <c r="U8" s="7"/>
      <c r="V8" s="7"/>
    </row>
    <row r="9" spans="2:26" x14ac:dyDescent="0.2">
      <c r="B9" s="19" t="s">
        <v>6</v>
      </c>
      <c r="C9" s="19"/>
      <c r="D9">
        <v>602670</v>
      </c>
      <c r="E9">
        <v>349160</v>
      </c>
      <c r="F9">
        <v>264760</v>
      </c>
      <c r="H9" s="1" t="s">
        <v>3</v>
      </c>
      <c r="I9" s="20" t="s">
        <v>6</v>
      </c>
      <c r="J9" s="20"/>
      <c r="K9" s="6">
        <v>584175.27761912905</v>
      </c>
      <c r="L9" s="6">
        <v>265742.768126952</v>
      </c>
      <c r="M9" s="6">
        <v>198566.760290184</v>
      </c>
      <c r="O9" s="7"/>
      <c r="P9" s="10"/>
      <c r="Q9" s="10"/>
      <c r="R9" s="10"/>
      <c r="S9" s="11">
        <v>144643.56912966</v>
      </c>
      <c r="T9" s="7">
        <v>138083.397149119</v>
      </c>
      <c r="U9" s="7" t="s">
        <v>3</v>
      </c>
      <c r="V9" s="7"/>
    </row>
    <row r="10" spans="2:26" x14ac:dyDescent="0.2">
      <c r="B10" s="19"/>
      <c r="C10" s="19"/>
      <c r="I10" s="19"/>
      <c r="J10" s="19"/>
      <c r="O10" s="7"/>
      <c r="P10" s="10" t="s">
        <v>3</v>
      </c>
      <c r="Q10" s="10"/>
      <c r="R10" s="10"/>
      <c r="S10" s="11">
        <v>26440.695510515499</v>
      </c>
      <c r="T10" s="7">
        <v>28946.893206596</v>
      </c>
      <c r="U10" s="7" t="s">
        <v>63</v>
      </c>
      <c r="V10" s="7"/>
      <c r="X10" t="s">
        <v>3</v>
      </c>
    </row>
    <row r="11" spans="2:26" x14ac:dyDescent="0.2">
      <c r="B11" s="19"/>
      <c r="C11" s="19"/>
      <c r="I11" s="19"/>
      <c r="J11" s="19"/>
      <c r="O11" s="7"/>
      <c r="P11" s="10"/>
      <c r="Q11" s="10" t="s">
        <v>44</v>
      </c>
      <c r="R11" s="10" t="s">
        <v>45</v>
      </c>
      <c r="S11" s="11">
        <v>6421.1052534914697</v>
      </c>
      <c r="T11" s="7">
        <v>6072.8891334540103</v>
      </c>
      <c r="U11" s="7"/>
      <c r="V11" s="7"/>
    </row>
    <row r="12" spans="2:26" x14ac:dyDescent="0.2">
      <c r="B12" s="19" t="s">
        <v>9</v>
      </c>
      <c r="C12" s="19"/>
      <c r="D12">
        <v>145690</v>
      </c>
      <c r="E12">
        <v>368970</v>
      </c>
      <c r="F12">
        <v>63996</v>
      </c>
      <c r="G12" t="s">
        <v>31</v>
      </c>
      <c r="H12" s="1"/>
      <c r="I12" s="20" t="s">
        <v>9</v>
      </c>
      <c r="J12" s="20"/>
      <c r="K12" s="6">
        <v>161911.432017518</v>
      </c>
      <c r="L12" s="6">
        <v>273045.21908595902</v>
      </c>
      <c r="M12" s="6">
        <v>57507.8725410923</v>
      </c>
      <c r="O12" s="8" t="s">
        <v>46</v>
      </c>
      <c r="P12" s="9" t="s">
        <v>47</v>
      </c>
      <c r="Q12" s="9" t="s">
        <v>48</v>
      </c>
      <c r="R12" s="9" t="s">
        <v>49</v>
      </c>
      <c r="S12" s="7"/>
      <c r="T12" s="7" t="s">
        <v>3</v>
      </c>
      <c r="U12" s="7"/>
      <c r="V12" s="7"/>
    </row>
    <row r="13" spans="2:26" x14ac:dyDescent="0.2">
      <c r="B13" s="19" t="s">
        <v>7</v>
      </c>
      <c r="C13" s="19"/>
      <c r="D13">
        <v>602670</v>
      </c>
      <c r="E13">
        <v>33921</v>
      </c>
      <c r="F13">
        <v>264760</v>
      </c>
      <c r="H13" s="1"/>
      <c r="I13" s="20" t="s">
        <v>7</v>
      </c>
      <c r="J13" s="20"/>
      <c r="K13" s="6">
        <v>584175.27761912905</v>
      </c>
      <c r="L13" s="6">
        <v>27284.5946412126</v>
      </c>
      <c r="M13" s="6">
        <v>198566.760290184</v>
      </c>
      <c r="O13" s="8" t="s">
        <v>50</v>
      </c>
      <c r="P13" s="11">
        <v>122857.076963946</v>
      </c>
      <c r="Q13" s="11">
        <v>1247688.5438868699</v>
      </c>
      <c r="R13" s="11">
        <v>1247688.5438868699</v>
      </c>
      <c r="S13" s="7"/>
      <c r="T13" s="7"/>
      <c r="U13" s="7"/>
      <c r="V13" s="7"/>
      <c r="Z13" t="s">
        <v>62</v>
      </c>
    </row>
    <row r="14" spans="2:26" x14ac:dyDescent="0.2">
      <c r="B14" s="19" t="s">
        <v>10</v>
      </c>
      <c r="C14" s="19"/>
      <c r="D14">
        <v>602670</v>
      </c>
      <c r="E14">
        <v>349160</v>
      </c>
      <c r="F14">
        <v>264760</v>
      </c>
      <c r="H14" s="1"/>
      <c r="I14" s="20" t="s">
        <v>10</v>
      </c>
      <c r="J14" s="20"/>
      <c r="K14" s="6">
        <v>584175.27761912905</v>
      </c>
      <c r="L14" s="6">
        <v>265742.768126952</v>
      </c>
      <c r="M14" s="6">
        <v>198566.760290184</v>
      </c>
      <c r="O14" s="8" t="s">
        <v>51</v>
      </c>
      <c r="P14" s="11">
        <v>267505.08072805702</v>
      </c>
      <c r="Q14" s="11">
        <v>19503.143425855302</v>
      </c>
      <c r="R14" s="11">
        <v>265531.64790001902</v>
      </c>
      <c r="S14" s="7"/>
      <c r="T14" s="7"/>
      <c r="U14" s="7"/>
      <c r="V14" s="7"/>
    </row>
    <row r="15" spans="2:26" x14ac:dyDescent="0.2">
      <c r="B15" s="19"/>
      <c r="C15" s="19"/>
      <c r="I15" s="19"/>
      <c r="J15" s="19"/>
      <c r="O15" s="8" t="s">
        <v>52</v>
      </c>
      <c r="P15" s="11">
        <v>5773.4232702217496</v>
      </c>
      <c r="Q15" s="11">
        <v>74462.535108817596</v>
      </c>
      <c r="R15" s="11">
        <v>74462.535108817596</v>
      </c>
      <c r="S15" s="7"/>
      <c r="T15" s="7"/>
      <c r="U15" s="7"/>
      <c r="V15" s="7"/>
    </row>
    <row r="16" spans="2:26" x14ac:dyDescent="0.2">
      <c r="B16" s="19"/>
      <c r="C16" s="19"/>
      <c r="I16" s="19"/>
      <c r="J16" s="19"/>
      <c r="O16" s="7"/>
      <c r="P16" s="10"/>
      <c r="Q16" s="10"/>
      <c r="R16" s="10"/>
      <c r="S16" s="7"/>
      <c r="T16" s="7"/>
      <c r="U16" s="7"/>
      <c r="V16" s="7"/>
    </row>
    <row r="17" spans="2:22" x14ac:dyDescent="0.2">
      <c r="B17" s="19" t="s">
        <v>11</v>
      </c>
      <c r="C17" s="19"/>
      <c r="D17">
        <v>154190</v>
      </c>
      <c r="E17">
        <v>382440</v>
      </c>
      <c r="F17">
        <v>64032</v>
      </c>
      <c r="H17" s="1"/>
      <c r="I17" s="20" t="s">
        <v>11</v>
      </c>
      <c r="J17" s="20"/>
      <c r="K17" s="6">
        <v>163161.76871140799</v>
      </c>
      <c r="L17" s="6">
        <v>247973.33634058901</v>
      </c>
      <c r="M17" s="6">
        <v>57630.358288621297</v>
      </c>
      <c r="O17" s="7"/>
      <c r="P17" s="10" t="s">
        <v>53</v>
      </c>
      <c r="Q17" s="10" t="s">
        <v>54</v>
      </c>
      <c r="R17" s="10" t="s">
        <v>55</v>
      </c>
      <c r="S17" s="7"/>
      <c r="T17" s="7"/>
      <c r="U17" s="7"/>
      <c r="V17" s="7"/>
    </row>
    <row r="18" spans="2:22" x14ac:dyDescent="0.2">
      <c r="B18" s="19" t="s">
        <v>12</v>
      </c>
      <c r="C18" s="19"/>
      <c r="D18">
        <v>602670</v>
      </c>
      <c r="E18">
        <v>33921</v>
      </c>
      <c r="F18">
        <v>264760</v>
      </c>
      <c r="H18" s="1"/>
      <c r="I18" s="20" t="s">
        <v>12</v>
      </c>
      <c r="J18" s="20"/>
      <c r="K18" s="6">
        <v>584175.27761912905</v>
      </c>
      <c r="L18" s="6">
        <v>27284.5946412126</v>
      </c>
      <c r="M18" s="6">
        <v>198566.760290184</v>
      </c>
      <c r="O18" s="8" t="s">
        <v>46</v>
      </c>
      <c r="P18" s="9" t="s">
        <v>56</v>
      </c>
      <c r="Q18" s="9" t="s">
        <v>57</v>
      </c>
      <c r="R18" s="9" t="s">
        <v>58</v>
      </c>
      <c r="S18" s="7"/>
      <c r="T18" s="7"/>
      <c r="U18" s="7"/>
      <c r="V18" s="7"/>
    </row>
    <row r="19" spans="2:22" x14ac:dyDescent="0.2">
      <c r="B19" s="19" t="s">
        <v>8</v>
      </c>
      <c r="C19" s="19"/>
      <c r="D19">
        <v>602670</v>
      </c>
      <c r="E19">
        <v>346090</v>
      </c>
      <c r="F19">
        <v>264760</v>
      </c>
      <c r="H19" s="1"/>
      <c r="I19" s="20" t="s">
        <v>8</v>
      </c>
      <c r="J19" s="20"/>
      <c r="K19" s="6">
        <v>584175.27761912905</v>
      </c>
      <c r="L19" s="6">
        <v>260295.1458039</v>
      </c>
      <c r="M19" s="6">
        <v>198566.760290184</v>
      </c>
      <c r="O19" s="8" t="s">
        <v>50</v>
      </c>
      <c r="P19" s="11">
        <v>1247688.5438868699</v>
      </c>
      <c r="Q19" s="11">
        <v>1247688.5438868699</v>
      </c>
      <c r="R19" s="11">
        <v>161256.00081266501</v>
      </c>
      <c r="S19" s="7"/>
      <c r="T19" s="7"/>
      <c r="U19" s="7"/>
      <c r="V19" s="7"/>
    </row>
    <row r="20" spans="2:22" x14ac:dyDescent="0.2">
      <c r="B20" s="19"/>
      <c r="C20" s="19"/>
      <c r="I20" s="19"/>
      <c r="J20" s="19"/>
      <c r="M20" t="s">
        <v>3</v>
      </c>
      <c r="O20" s="8" t="s">
        <v>51</v>
      </c>
      <c r="P20" s="11">
        <v>265531.64790001902</v>
      </c>
      <c r="Q20" s="11">
        <v>600206.62569591205</v>
      </c>
      <c r="R20" s="11">
        <v>270780.37350949203</v>
      </c>
      <c r="S20" s="7"/>
      <c r="T20" s="7"/>
      <c r="U20" s="7"/>
      <c r="V20" s="7"/>
    </row>
    <row r="21" spans="2:22" x14ac:dyDescent="0.2">
      <c r="B21" s="19"/>
      <c r="C21" s="19"/>
      <c r="I21" s="19"/>
      <c r="J21" s="19"/>
      <c r="O21" s="8" t="s">
        <v>52</v>
      </c>
      <c r="P21" s="11">
        <v>74462.535108817596</v>
      </c>
      <c r="Q21" s="11">
        <v>74462.535108817596</v>
      </c>
      <c r="R21" s="11">
        <v>6560.3917015064098</v>
      </c>
      <c r="S21" s="7"/>
      <c r="T21" s="7"/>
      <c r="U21" s="7"/>
      <c r="V21" s="7"/>
    </row>
    <row r="22" spans="2:22" x14ac:dyDescent="0.2">
      <c r="B22" s="19" t="s">
        <v>13</v>
      </c>
      <c r="C22" s="19"/>
      <c r="D22">
        <v>602670</v>
      </c>
      <c r="E22">
        <v>354590</v>
      </c>
      <c r="F22">
        <v>264760</v>
      </c>
      <c r="H22" s="1"/>
      <c r="I22" s="20" t="s">
        <v>13</v>
      </c>
      <c r="J22" s="20"/>
      <c r="K22" s="6">
        <v>584175.27761914802</v>
      </c>
      <c r="L22" s="6">
        <v>265531.64790001902</v>
      </c>
      <c r="M22" s="6">
        <v>198566.760290184</v>
      </c>
    </row>
    <row r="23" spans="2:22" x14ac:dyDescent="0.2">
      <c r="B23" s="19" t="s">
        <v>14</v>
      </c>
      <c r="C23" s="19"/>
      <c r="D23">
        <v>602670</v>
      </c>
      <c r="E23">
        <v>705980</v>
      </c>
      <c r="F23">
        <v>264760</v>
      </c>
      <c r="H23" s="1" t="s">
        <v>3</v>
      </c>
      <c r="I23" s="20" t="s">
        <v>14</v>
      </c>
      <c r="J23" s="20"/>
      <c r="K23" s="6">
        <v>584175.27761914802</v>
      </c>
      <c r="L23" s="6">
        <v>509036.320348332</v>
      </c>
      <c r="M23" s="6">
        <v>198566.760290184</v>
      </c>
    </row>
    <row r="24" spans="2:22" x14ac:dyDescent="0.2">
      <c r="B24" s="19" t="s">
        <v>15</v>
      </c>
      <c r="C24" s="19"/>
      <c r="D24">
        <v>192520</v>
      </c>
      <c r="E24">
        <v>360050</v>
      </c>
      <c r="F24">
        <v>39960</v>
      </c>
      <c r="H24" s="1"/>
      <c r="I24" s="20" t="s">
        <v>15</v>
      </c>
      <c r="J24" s="20"/>
      <c r="K24" s="6">
        <v>235674.916092856</v>
      </c>
      <c r="L24" s="6">
        <v>274640.97360836703</v>
      </c>
      <c r="M24" s="6">
        <v>63561.332808575899</v>
      </c>
      <c r="O24" s="2"/>
      <c r="P24" s="2"/>
      <c r="Q24" s="2"/>
      <c r="R24" s="2" t="s">
        <v>37</v>
      </c>
      <c r="S24" s="2"/>
      <c r="T24" s="2"/>
      <c r="U24" s="2"/>
      <c r="V24" s="2"/>
    </row>
    <row r="25" spans="2:22" x14ac:dyDescent="0.2">
      <c r="B25" s="19"/>
      <c r="C25" s="19"/>
      <c r="I25" s="19"/>
      <c r="J25" s="19"/>
      <c r="O25" s="3"/>
      <c r="P25" s="3" t="s">
        <v>38</v>
      </c>
      <c r="Q25" s="3" t="s">
        <v>39</v>
      </c>
      <c r="R25" s="3" t="s">
        <v>40</v>
      </c>
      <c r="S25" s="2"/>
      <c r="T25" s="2"/>
      <c r="U25" s="2"/>
      <c r="V25" s="2"/>
    </row>
    <row r="26" spans="2:22" x14ac:dyDescent="0.2">
      <c r="B26" s="19"/>
      <c r="C26" s="19"/>
      <c r="I26" s="19"/>
      <c r="J26" s="19"/>
      <c r="M26" t="s">
        <v>3</v>
      </c>
      <c r="O26" s="3" t="s">
        <v>41</v>
      </c>
      <c r="P26" s="6">
        <v>102249.97496281999</v>
      </c>
      <c r="Q26" s="6">
        <v>1247688.54388692</v>
      </c>
      <c r="R26" s="6">
        <v>118810.345432495</v>
      </c>
      <c r="S26" s="5">
        <f>Q26-P26</f>
        <v>1145438.5689240999</v>
      </c>
      <c r="T26" s="5">
        <f>Q26-R26</f>
        <v>1128878.198454425</v>
      </c>
      <c r="U26" s="2">
        <f>T26/S26</f>
        <v>0.98554233206480035</v>
      </c>
      <c r="V26" s="2">
        <f>U26/3+U27/3+U28/3</f>
        <v>0.65683496963502619</v>
      </c>
    </row>
    <row r="27" spans="2:22" x14ac:dyDescent="0.2">
      <c r="B27" s="19" t="s">
        <v>16</v>
      </c>
      <c r="C27" s="19"/>
      <c r="D27">
        <v>602670</v>
      </c>
      <c r="E27">
        <v>349160</v>
      </c>
      <c r="F27">
        <v>264760</v>
      </c>
      <c r="H27" s="1"/>
      <c r="I27" s="20" t="s">
        <v>16</v>
      </c>
      <c r="J27" s="20"/>
      <c r="K27" s="6">
        <v>584175.27761912905</v>
      </c>
      <c r="L27" s="6">
        <v>262698.75407273503</v>
      </c>
      <c r="M27" s="6">
        <v>198566.760290184</v>
      </c>
      <c r="O27" s="3" t="s">
        <v>42</v>
      </c>
      <c r="P27" s="6">
        <v>19503.143425855302</v>
      </c>
      <c r="Q27" s="6">
        <v>600203.21789067495</v>
      </c>
      <c r="R27" s="6">
        <v>29423.874075539101</v>
      </c>
      <c r="S27" s="5">
        <f>Q27-P27</f>
        <v>580700.07446481963</v>
      </c>
      <c r="T27" s="5">
        <f>Q27-R27</f>
        <v>570779.34381513589</v>
      </c>
      <c r="U27" s="2">
        <f>T27/S27</f>
        <v>0.98291591290249647</v>
      </c>
      <c r="V27" s="2"/>
    </row>
    <row r="28" spans="2:22" x14ac:dyDescent="0.2">
      <c r="B28" s="19" t="s">
        <v>19</v>
      </c>
      <c r="C28" s="19"/>
      <c r="D28">
        <v>390800</v>
      </c>
      <c r="E28">
        <v>705980</v>
      </c>
      <c r="F28">
        <v>107710</v>
      </c>
      <c r="H28" s="1"/>
      <c r="I28" s="20" t="s">
        <v>19</v>
      </c>
      <c r="J28" s="20"/>
      <c r="K28" s="6">
        <v>442843.63969622902</v>
      </c>
      <c r="L28" s="6">
        <v>509035.29273373302</v>
      </c>
      <c r="M28" s="6">
        <v>100401.504943601</v>
      </c>
      <c r="O28" s="3" t="s">
        <v>43</v>
      </c>
      <c r="P28" s="6">
        <v>74462.535108817596</v>
      </c>
      <c r="Q28" s="6">
        <v>6407.1766086899997</v>
      </c>
      <c r="R28" s="6">
        <v>6546.4630567050099</v>
      </c>
      <c r="S28" s="5">
        <f>P28-Q28</f>
        <v>68055.358500127593</v>
      </c>
      <c r="T28" s="5">
        <f>R28-Q28</f>
        <v>139.28644801501014</v>
      </c>
      <c r="U28" s="2">
        <f>T28/S28</f>
        <v>2.0466639377816074E-3</v>
      </c>
      <c r="V28" s="2"/>
    </row>
    <row r="29" spans="2:22" x14ac:dyDescent="0.2">
      <c r="B29" s="19" t="s">
        <v>20</v>
      </c>
      <c r="C29" s="19"/>
      <c r="D29">
        <v>177170</v>
      </c>
      <c r="E29">
        <v>366160</v>
      </c>
      <c r="F29">
        <v>63996</v>
      </c>
      <c r="H29" s="1"/>
      <c r="I29" s="20" t="s">
        <v>20</v>
      </c>
      <c r="J29" s="20"/>
      <c r="K29" s="6">
        <v>230643.52989119501</v>
      </c>
      <c r="L29" s="6">
        <v>260321.99070705901</v>
      </c>
      <c r="M29" s="6">
        <v>63561.332808575702</v>
      </c>
      <c r="O29" s="2"/>
      <c r="P29" s="5"/>
      <c r="Q29" s="5"/>
      <c r="R29" s="5"/>
      <c r="S29" s="2"/>
      <c r="T29" s="2"/>
      <c r="U29" s="2"/>
      <c r="V29" s="2"/>
    </row>
    <row r="30" spans="2:22" x14ac:dyDescent="0.2">
      <c r="B30" s="19"/>
      <c r="C30" s="19"/>
      <c r="I30" s="19"/>
      <c r="J30" s="19"/>
      <c r="O30" s="2"/>
      <c r="P30" s="5"/>
      <c r="Q30" s="5" t="s">
        <v>3</v>
      </c>
      <c r="R30" s="5"/>
      <c r="S30" s="2"/>
      <c r="T30" s="2"/>
      <c r="U30" s="2"/>
      <c r="V30" s="2"/>
    </row>
    <row r="31" spans="2:22" x14ac:dyDescent="0.2">
      <c r="B31" s="19"/>
      <c r="C31" s="19"/>
      <c r="I31" s="19"/>
      <c r="J31" s="19"/>
      <c r="O31" s="2"/>
      <c r="P31" s="5"/>
      <c r="Q31" s="5"/>
      <c r="R31" s="5"/>
      <c r="S31" s="2"/>
      <c r="T31" s="2"/>
      <c r="U31" s="2"/>
      <c r="V31" s="2"/>
    </row>
    <row r="32" spans="2:22" x14ac:dyDescent="0.2">
      <c r="B32" s="19" t="s">
        <v>21</v>
      </c>
      <c r="C32" s="19"/>
      <c r="D32">
        <v>602670</v>
      </c>
      <c r="E32">
        <v>349160</v>
      </c>
      <c r="F32">
        <v>264760</v>
      </c>
      <c r="H32" s="1"/>
      <c r="I32" s="20" t="s">
        <v>21</v>
      </c>
      <c r="J32" s="20"/>
      <c r="K32" s="6">
        <v>584175.27761912905</v>
      </c>
      <c r="L32" s="6">
        <v>265742.768126952</v>
      </c>
      <c r="M32" s="6">
        <v>198566.760290184</v>
      </c>
      <c r="O32" s="2"/>
      <c r="P32" s="5"/>
      <c r="Q32" s="5"/>
      <c r="R32" s="5"/>
      <c r="S32" s="2"/>
      <c r="T32" s="2"/>
      <c r="U32" s="2"/>
      <c r="V32" s="2"/>
    </row>
    <row r="33" spans="2:22" x14ac:dyDescent="0.2">
      <c r="B33" s="19" t="s">
        <v>17</v>
      </c>
      <c r="C33" s="19"/>
      <c r="D33">
        <v>392010</v>
      </c>
      <c r="E33">
        <v>705980</v>
      </c>
      <c r="F33">
        <v>107800</v>
      </c>
      <c r="H33" s="1"/>
      <c r="I33" s="20" t="s">
        <v>17</v>
      </c>
      <c r="J33" s="20"/>
      <c r="K33" s="6">
        <v>443598.24125603598</v>
      </c>
      <c r="L33" s="6">
        <v>509034.36565449799</v>
      </c>
      <c r="M33" s="6">
        <v>100290.075785186</v>
      </c>
      <c r="O33" s="2"/>
      <c r="P33" s="5"/>
      <c r="Q33" s="5" t="s">
        <v>44</v>
      </c>
      <c r="R33" s="5" t="s">
        <v>45</v>
      </c>
      <c r="S33" s="2"/>
      <c r="T33" s="2"/>
      <c r="U33" s="2"/>
      <c r="V33" s="2"/>
    </row>
    <row r="34" spans="2:22" x14ac:dyDescent="0.2">
      <c r="B34" s="19" t="s">
        <v>22</v>
      </c>
      <c r="C34" s="19"/>
      <c r="H34" s="1"/>
      <c r="I34" s="20" t="s">
        <v>22</v>
      </c>
      <c r="J34" s="20"/>
      <c r="K34" s="6">
        <v>241840.10154049101</v>
      </c>
      <c r="L34" s="6">
        <v>260380.45657598699</v>
      </c>
      <c r="M34" s="6">
        <v>63561.332808575702</v>
      </c>
      <c r="O34" s="3" t="s">
        <v>46</v>
      </c>
      <c r="P34" s="4" t="s">
        <v>47</v>
      </c>
      <c r="Q34" s="4" t="s">
        <v>48</v>
      </c>
      <c r="R34" s="4" t="s">
        <v>49</v>
      </c>
      <c r="S34" s="2"/>
      <c r="T34" s="2"/>
      <c r="U34" s="2"/>
      <c r="V34" s="2"/>
    </row>
    <row r="35" spans="2:22" x14ac:dyDescent="0.2">
      <c r="B35" s="19"/>
      <c r="C35" s="19"/>
      <c r="I35" s="19"/>
      <c r="J35" s="19"/>
      <c r="O35" s="3" t="s">
        <v>50</v>
      </c>
      <c r="P35" s="6">
        <v>102249.97496281999</v>
      </c>
      <c r="Q35" s="6">
        <v>902164.87445181201</v>
      </c>
      <c r="R35" s="6">
        <v>1247688.54388692</v>
      </c>
      <c r="S35" s="2"/>
      <c r="T35" s="2"/>
      <c r="U35" s="2"/>
      <c r="V35" s="2"/>
    </row>
    <row r="36" spans="2:22" x14ac:dyDescent="0.2">
      <c r="B36" s="19"/>
      <c r="C36" s="19"/>
      <c r="I36" s="19"/>
      <c r="J36" s="19"/>
      <c r="O36" s="3" t="s">
        <v>51</v>
      </c>
      <c r="P36" s="6">
        <v>280034.08875733399</v>
      </c>
      <c r="Q36" s="6">
        <v>19503.143425855302</v>
      </c>
      <c r="R36" s="6">
        <v>267788.54128315899</v>
      </c>
      <c r="S36" s="2"/>
      <c r="T36" s="2"/>
      <c r="U36" s="2"/>
      <c r="V36" s="2"/>
    </row>
    <row r="37" spans="2:22" x14ac:dyDescent="0.2">
      <c r="B37" s="19" t="s">
        <v>23</v>
      </c>
      <c r="C37" s="19"/>
      <c r="D37">
        <v>602670</v>
      </c>
      <c r="E37">
        <v>346090</v>
      </c>
      <c r="F37">
        <v>264760</v>
      </c>
      <c r="H37" s="1"/>
      <c r="I37" s="20" t="s">
        <v>23</v>
      </c>
      <c r="J37" s="20"/>
      <c r="K37" s="6">
        <v>584175.27761912905</v>
      </c>
      <c r="L37" s="6">
        <v>263199.48318237002</v>
      </c>
      <c r="M37" s="6">
        <v>198566.760290184</v>
      </c>
      <c r="O37" s="3" t="s">
        <v>52</v>
      </c>
      <c r="P37" s="6">
        <v>5808.2448822255101</v>
      </c>
      <c r="Q37" s="6">
        <v>32725.3509962996</v>
      </c>
      <c r="R37" s="6">
        <v>74462.535108817596</v>
      </c>
      <c r="S37" s="2"/>
      <c r="T37" s="2"/>
      <c r="U37" s="2"/>
      <c r="V37" s="2"/>
    </row>
    <row r="38" spans="2:22" x14ac:dyDescent="0.2">
      <c r="B38" s="19" t="s">
        <v>24</v>
      </c>
      <c r="C38" s="19"/>
      <c r="D38">
        <v>602670</v>
      </c>
      <c r="E38">
        <v>705980</v>
      </c>
      <c r="F38">
        <v>264760</v>
      </c>
      <c r="H38" s="1"/>
      <c r="I38" s="20" t="s">
        <v>24</v>
      </c>
      <c r="J38" s="20"/>
      <c r="K38" s="6">
        <v>584175.27761912905</v>
      </c>
      <c r="L38" s="6">
        <v>509036.32032364601</v>
      </c>
      <c r="M38" s="6">
        <v>198566.760290184</v>
      </c>
      <c r="O38" s="2"/>
      <c r="P38" s="5"/>
      <c r="Q38" s="5"/>
      <c r="R38" s="5"/>
      <c r="S38" s="2"/>
      <c r="T38" s="2"/>
      <c r="U38" s="2"/>
      <c r="V38" s="2"/>
    </row>
    <row r="39" spans="2:22" x14ac:dyDescent="0.2">
      <c r="B39" s="19" t="s">
        <v>18</v>
      </c>
      <c r="C39" s="19"/>
      <c r="D39">
        <v>196270</v>
      </c>
      <c r="E39">
        <v>382270</v>
      </c>
      <c r="F39">
        <v>63996</v>
      </c>
      <c r="H39" s="1"/>
      <c r="I39" s="20" t="s">
        <v>18</v>
      </c>
      <c r="J39" s="20"/>
      <c r="K39" s="6">
        <v>236855.758294901</v>
      </c>
      <c r="L39" s="6">
        <v>264758.522831643</v>
      </c>
      <c r="M39" s="6">
        <v>63561.332808576</v>
      </c>
      <c r="O39" s="2"/>
      <c r="P39" s="5" t="s">
        <v>53</v>
      </c>
      <c r="Q39" s="5" t="s">
        <v>54</v>
      </c>
      <c r="R39" s="5" t="s">
        <v>55</v>
      </c>
      <c r="S39" s="2"/>
      <c r="T39" s="2" t="s">
        <v>3</v>
      </c>
      <c r="U39" s="2"/>
      <c r="V39" s="2"/>
    </row>
    <row r="40" spans="2:22" x14ac:dyDescent="0.2">
      <c r="B40" s="19"/>
      <c r="C40" s="19"/>
      <c r="I40" s="19"/>
      <c r="J40" s="19"/>
      <c r="O40" s="3" t="s">
        <v>46</v>
      </c>
      <c r="P40" s="4" t="s">
        <v>56</v>
      </c>
      <c r="Q40" s="4" t="s">
        <v>57</v>
      </c>
      <c r="R40" s="4" t="s">
        <v>58</v>
      </c>
      <c r="S40" s="2"/>
      <c r="T40" s="2"/>
      <c r="U40" s="2"/>
      <c r="V40" s="2"/>
    </row>
    <row r="41" spans="2:22" x14ac:dyDescent="0.2">
      <c r="B41" s="19"/>
      <c r="C41" s="19"/>
      <c r="I41" s="19"/>
      <c r="J41" s="19"/>
      <c r="O41" s="3" t="s">
        <v>50</v>
      </c>
      <c r="P41" s="6">
        <v>1247688.54388692</v>
      </c>
      <c r="Q41" s="6">
        <v>871007.08561215305</v>
      </c>
      <c r="R41" s="6">
        <v>123072.908819845</v>
      </c>
      <c r="S41" s="2"/>
      <c r="T41" s="2"/>
      <c r="U41" s="2"/>
      <c r="V41" s="2"/>
    </row>
    <row r="42" spans="2:22" x14ac:dyDescent="0.2">
      <c r="B42" s="19" t="s">
        <v>25</v>
      </c>
      <c r="C42" s="19"/>
      <c r="H42" s="1"/>
      <c r="I42" s="20" t="s">
        <v>25</v>
      </c>
      <c r="J42" s="20"/>
      <c r="K42" s="6">
        <v>224195.73444959</v>
      </c>
      <c r="L42" s="6">
        <v>260642.24674156</v>
      </c>
      <c r="M42" s="6">
        <v>60534.602674834197</v>
      </c>
      <c r="O42" s="3" t="s">
        <v>51</v>
      </c>
      <c r="P42" s="6">
        <v>265531.64790001902</v>
      </c>
      <c r="Q42" s="6">
        <v>600203.21789067495</v>
      </c>
      <c r="R42" s="6">
        <v>274070.602151439</v>
      </c>
      <c r="S42" s="2"/>
      <c r="T42" s="2"/>
      <c r="U42" s="2"/>
      <c r="V42" s="2"/>
    </row>
    <row r="43" spans="2:22" x14ac:dyDescent="0.2">
      <c r="B43" s="19" t="s">
        <v>26</v>
      </c>
      <c r="C43" s="19"/>
      <c r="H43" s="1"/>
      <c r="I43" s="20" t="s">
        <v>26</v>
      </c>
      <c r="J43" s="20"/>
      <c r="K43" s="6">
        <v>584175.27761914802</v>
      </c>
      <c r="L43" s="6">
        <v>28214.602484004499</v>
      </c>
      <c r="M43" s="6">
        <v>198566.760290184</v>
      </c>
      <c r="O43" s="3" t="s">
        <v>52</v>
      </c>
      <c r="P43" s="6">
        <v>74462.535108817596</v>
      </c>
      <c r="Q43" s="6">
        <v>28268.1846246438</v>
      </c>
      <c r="R43" s="6">
        <v>6407.1766086899997</v>
      </c>
      <c r="S43" s="2"/>
      <c r="T43" s="2"/>
      <c r="U43" s="2"/>
      <c r="V43" s="2"/>
    </row>
    <row r="44" spans="2:22" x14ac:dyDescent="0.2">
      <c r="B44" s="19" t="s">
        <v>27</v>
      </c>
      <c r="C44" s="19"/>
      <c r="H44" s="1"/>
      <c r="I44" s="20" t="s">
        <v>27</v>
      </c>
      <c r="J44" s="20"/>
      <c r="K44" s="6">
        <v>584175.27761914802</v>
      </c>
      <c r="L44" s="6">
        <v>265531.64790001902</v>
      </c>
      <c r="M44" s="6">
        <v>198566.760290184</v>
      </c>
    </row>
    <row r="45" spans="2:22" x14ac:dyDescent="0.2">
      <c r="B45" s="19"/>
      <c r="C45" s="19"/>
      <c r="I45" s="19"/>
      <c r="J45" s="19"/>
    </row>
    <row r="46" spans="2:22" x14ac:dyDescent="0.2">
      <c r="B46" s="19"/>
      <c r="C46" s="19"/>
      <c r="I46" s="19"/>
      <c r="J46" s="19"/>
      <c r="O46" s="7"/>
      <c r="P46" s="7"/>
      <c r="Q46" s="7"/>
      <c r="R46" s="7" t="s">
        <v>37</v>
      </c>
      <c r="S46" s="7"/>
      <c r="T46" s="7"/>
      <c r="U46" s="7"/>
      <c r="V46" s="7"/>
    </row>
    <row r="47" spans="2:22" x14ac:dyDescent="0.2">
      <c r="B47" s="19" t="s">
        <v>28</v>
      </c>
      <c r="C47" s="19"/>
      <c r="H47" s="1"/>
      <c r="I47" s="20" t="s">
        <v>28</v>
      </c>
      <c r="J47" s="20"/>
      <c r="K47" s="6">
        <v>584175.27761914802</v>
      </c>
      <c r="L47" s="6">
        <v>265531.64790001902</v>
      </c>
      <c r="M47" s="6">
        <v>198566.760290184</v>
      </c>
      <c r="O47" s="8"/>
      <c r="P47" s="8" t="s">
        <v>38</v>
      </c>
      <c r="Q47" s="8" t="s">
        <v>39</v>
      </c>
      <c r="R47" s="8" t="s">
        <v>40</v>
      </c>
      <c r="S47" s="7"/>
      <c r="T47" s="7"/>
      <c r="U47" s="7"/>
      <c r="V47" s="7"/>
    </row>
    <row r="48" spans="2:22" x14ac:dyDescent="0.2">
      <c r="B48" s="19" t="s">
        <v>29</v>
      </c>
      <c r="C48" s="19"/>
      <c r="H48" s="1"/>
      <c r="I48" s="20" t="s">
        <v>29</v>
      </c>
      <c r="J48" s="20"/>
      <c r="K48" s="6">
        <v>584175.27761914802</v>
      </c>
      <c r="L48" s="6">
        <v>514226.53890735598</v>
      </c>
      <c r="M48" s="6">
        <v>198566.760290184</v>
      </c>
      <c r="O48" s="8" t="s">
        <v>41</v>
      </c>
      <c r="P48" s="11">
        <v>102366.917152276</v>
      </c>
      <c r="Q48" s="11">
        <v>917975.97125080903</v>
      </c>
      <c r="R48" s="11">
        <v>115898.881844626</v>
      </c>
      <c r="S48" s="10">
        <f>Q48-P48</f>
        <v>815609.054098533</v>
      </c>
      <c r="T48" s="10">
        <f>Q48-R48</f>
        <v>802077.08940618299</v>
      </c>
      <c r="U48" s="7">
        <f>T48/S48</f>
        <v>0.98340876106714326</v>
      </c>
      <c r="V48" s="7">
        <f>U48/3+U49/3+U50/3</f>
        <v>0.65454003111356296</v>
      </c>
    </row>
    <row r="49" spans="2:22" x14ac:dyDescent="0.2">
      <c r="B49" s="19" t="s">
        <v>30</v>
      </c>
      <c r="C49" s="19"/>
      <c r="H49" s="1"/>
      <c r="I49" s="20" t="s">
        <v>30</v>
      </c>
      <c r="J49" s="20"/>
      <c r="K49" s="6">
        <v>235674.916092856</v>
      </c>
      <c r="L49" s="6">
        <v>274640.97360836703</v>
      </c>
      <c r="M49" s="6">
        <v>63561.332808575899</v>
      </c>
      <c r="O49" s="8" t="s">
        <v>42</v>
      </c>
      <c r="P49" s="11">
        <v>19503.143595904901</v>
      </c>
      <c r="Q49" s="11">
        <v>600203.04436131997</v>
      </c>
      <c r="R49" s="11">
        <v>32182.675330773902</v>
      </c>
      <c r="S49" s="10">
        <f>Q49-P49</f>
        <v>580699.90076541505</v>
      </c>
      <c r="T49" s="10">
        <f>Q49-R49</f>
        <v>568020.36903054605</v>
      </c>
      <c r="U49" s="7">
        <f>T49/S49</f>
        <v>0.9781650871333778</v>
      </c>
      <c r="V49" s="7"/>
    </row>
    <row r="50" spans="2:22" x14ac:dyDescent="0.2">
      <c r="B50" s="19"/>
      <c r="C50" s="19"/>
      <c r="I50" s="19"/>
      <c r="J50" s="19"/>
      <c r="O50" s="8" t="s">
        <v>43</v>
      </c>
      <c r="P50" s="11">
        <v>74462.535108817596</v>
      </c>
      <c r="Q50" s="11">
        <v>6393.2479638885097</v>
      </c>
      <c r="R50" s="11">
        <v>6532.5344119034999</v>
      </c>
      <c r="S50" s="10">
        <f>P50-Q50</f>
        <v>68069.287144929083</v>
      </c>
      <c r="T50" s="13">
        <f>R50-Q50</f>
        <v>139.28644801499013</v>
      </c>
      <c r="U50" s="13">
        <f>T50/S50</f>
        <v>2.0462451401676899E-3</v>
      </c>
      <c r="V50" s="7"/>
    </row>
    <row r="51" spans="2:22" x14ac:dyDescent="0.2">
      <c r="B51" s="19"/>
      <c r="C51" s="19"/>
      <c r="I51" s="19"/>
      <c r="J51" s="19"/>
      <c r="O51" s="7"/>
      <c r="P51" s="10"/>
      <c r="Q51" s="10"/>
      <c r="R51" s="10"/>
      <c r="S51" s="7"/>
      <c r="T51" s="7"/>
      <c r="U51" s="7"/>
      <c r="V51" s="7"/>
    </row>
    <row r="52" spans="2:22" x14ac:dyDescent="0.2">
      <c r="B52" s="19"/>
      <c r="C52" s="19"/>
      <c r="I52" s="19"/>
      <c r="J52" s="19"/>
      <c r="O52" s="7"/>
      <c r="P52" s="10"/>
      <c r="Q52" s="10"/>
      <c r="R52" s="10"/>
      <c r="S52" s="7"/>
      <c r="T52" s="7"/>
      <c r="U52" s="7"/>
      <c r="V52" s="7"/>
    </row>
    <row r="53" spans="2:22" x14ac:dyDescent="0.2">
      <c r="B53" s="19"/>
      <c r="C53" s="19"/>
      <c r="I53" s="18" t="s">
        <v>33</v>
      </c>
      <c r="J53" s="18"/>
      <c r="K53" s="11">
        <v>235599.31268758501</v>
      </c>
      <c r="L53" s="11">
        <v>32978.396453518399</v>
      </c>
      <c r="M53" s="11">
        <v>63561.332808575899</v>
      </c>
      <c r="O53" s="7"/>
      <c r="P53" s="10" t="s">
        <v>3</v>
      </c>
      <c r="Q53" s="10"/>
      <c r="R53" s="10"/>
      <c r="S53" s="7"/>
      <c r="T53" s="7"/>
      <c r="U53" s="7"/>
      <c r="V53" s="7"/>
    </row>
    <row r="54" spans="2:22" x14ac:dyDescent="0.2">
      <c r="B54" s="19"/>
      <c r="C54" s="19"/>
      <c r="I54" s="18" t="s">
        <v>34</v>
      </c>
      <c r="J54" s="18"/>
      <c r="K54" s="11">
        <v>179202.634372923</v>
      </c>
      <c r="L54" s="11">
        <v>36082.896696572199</v>
      </c>
      <c r="M54" s="11">
        <v>63911.790035930098</v>
      </c>
      <c r="O54" s="7"/>
      <c r="P54" s="10"/>
      <c r="Q54" s="10"/>
      <c r="R54" s="10"/>
      <c r="S54" s="7"/>
      <c r="T54" s="7"/>
      <c r="U54" s="7"/>
      <c r="V54" s="7"/>
    </row>
    <row r="55" spans="2:22" x14ac:dyDescent="0.2">
      <c r="B55" s="19"/>
      <c r="C55" s="19"/>
      <c r="I55" s="18" t="s">
        <v>32</v>
      </c>
      <c r="J55" s="18"/>
      <c r="K55" s="11">
        <v>181711.69832650799</v>
      </c>
      <c r="L55" s="11">
        <v>34441.8571887937</v>
      </c>
      <c r="M55" s="11">
        <v>63561.332808575797</v>
      </c>
      <c r="O55" s="7"/>
      <c r="P55" s="10"/>
      <c r="Q55" s="10" t="s">
        <v>44</v>
      </c>
      <c r="R55" s="10" t="s">
        <v>45</v>
      </c>
      <c r="S55" s="7"/>
      <c r="T55" s="7"/>
      <c r="U55" s="7"/>
      <c r="V55" s="7"/>
    </row>
    <row r="56" spans="2:22" x14ac:dyDescent="0.2">
      <c r="B56" s="19"/>
      <c r="C56" s="19"/>
      <c r="I56" s="18" t="s">
        <v>35</v>
      </c>
      <c r="J56" s="18"/>
      <c r="K56" s="11">
        <v>187617.92339770199</v>
      </c>
      <c r="L56" s="11">
        <v>34490.382574419004</v>
      </c>
      <c r="M56" s="11">
        <v>63613.5361576547</v>
      </c>
      <c r="O56" s="8" t="s">
        <v>46</v>
      </c>
      <c r="P56" s="9" t="s">
        <v>47</v>
      </c>
      <c r="Q56" s="9" t="s">
        <v>48</v>
      </c>
      <c r="R56" s="9" t="s">
        <v>49</v>
      </c>
      <c r="S56" s="7"/>
      <c r="T56" s="7"/>
      <c r="U56" s="7"/>
      <c r="V56" s="7"/>
    </row>
    <row r="57" spans="2:22" x14ac:dyDescent="0.2">
      <c r="B57" s="19"/>
      <c r="C57" s="19"/>
      <c r="I57" s="18" t="s">
        <v>36</v>
      </c>
      <c r="J57" s="18"/>
      <c r="K57" s="11">
        <v>224544.17096059601</v>
      </c>
      <c r="L57" s="11">
        <v>32731.927896363501</v>
      </c>
      <c r="M57" s="11">
        <v>60534.602674834197</v>
      </c>
      <c r="O57" s="8" t="s">
        <v>50</v>
      </c>
      <c r="P57" s="11">
        <v>102366.917152276</v>
      </c>
      <c r="Q57" s="11">
        <v>921948.73793725204</v>
      </c>
      <c r="R57" s="11">
        <v>1247688.54388692</v>
      </c>
      <c r="S57" s="7"/>
      <c r="T57" s="7" t="s">
        <v>64</v>
      </c>
      <c r="U57" s="7"/>
      <c r="V57" s="7"/>
    </row>
    <row r="58" spans="2:22" x14ac:dyDescent="0.2">
      <c r="B58" s="19"/>
      <c r="C58" s="19"/>
      <c r="I58" s="19"/>
      <c r="J58" s="19"/>
      <c r="O58" s="8" t="s">
        <v>51</v>
      </c>
      <c r="P58" s="11">
        <v>269787.119902273</v>
      </c>
      <c r="Q58" s="11">
        <v>19503.143425855302</v>
      </c>
      <c r="R58" s="11">
        <v>267788.54128315899</v>
      </c>
      <c r="S58" s="7"/>
      <c r="T58" s="7"/>
      <c r="U58" s="7"/>
      <c r="V58" s="7"/>
    </row>
    <row r="59" spans="2:22" x14ac:dyDescent="0.2">
      <c r="B59" s="19"/>
      <c r="C59" s="19"/>
      <c r="I59" s="19"/>
      <c r="J59" s="19"/>
      <c r="L59" t="s">
        <v>3</v>
      </c>
      <c r="M59" t="s">
        <v>3</v>
      </c>
      <c r="O59" s="8" t="s">
        <v>52</v>
      </c>
      <c r="P59" s="11">
        <v>5829.1378494277596</v>
      </c>
      <c r="Q59" s="11">
        <v>32864.637444314503</v>
      </c>
      <c r="R59" s="11">
        <v>74462.535108817596</v>
      </c>
      <c r="S59" s="7"/>
      <c r="T59" s="7"/>
      <c r="U59" s="7"/>
      <c r="V59" s="7"/>
    </row>
    <row r="60" spans="2:22" x14ac:dyDescent="0.2">
      <c r="B60" s="19"/>
      <c r="C60" s="19"/>
      <c r="M60" t="s">
        <v>3</v>
      </c>
      <c r="N60" t="s">
        <v>3</v>
      </c>
      <c r="O60" s="7"/>
      <c r="P60" s="10"/>
      <c r="Q60" s="10"/>
      <c r="R60" s="10"/>
      <c r="S60" s="7"/>
      <c r="T60" s="7"/>
      <c r="U60" s="7"/>
      <c r="V60" s="7"/>
    </row>
    <row r="61" spans="2:22" x14ac:dyDescent="0.2">
      <c r="B61" s="19"/>
      <c r="C61" s="19"/>
      <c r="M61" t="s">
        <v>3</v>
      </c>
      <c r="O61" s="7"/>
      <c r="P61" s="10" t="s">
        <v>53</v>
      </c>
      <c r="Q61" s="10" t="s">
        <v>54</v>
      </c>
      <c r="R61" s="10" t="s">
        <v>55</v>
      </c>
      <c r="S61" s="7"/>
      <c r="T61" s="7"/>
      <c r="U61" s="7"/>
      <c r="V61" s="7"/>
    </row>
    <row r="62" spans="2:22" x14ac:dyDescent="0.2">
      <c r="B62" s="19"/>
      <c r="C62" s="19"/>
      <c r="M62" t="s">
        <v>3</v>
      </c>
      <c r="O62" s="8" t="s">
        <v>46</v>
      </c>
      <c r="P62" s="9" t="s">
        <v>56</v>
      </c>
      <c r="Q62" s="9" t="s">
        <v>57</v>
      </c>
      <c r="R62" s="9" t="s">
        <v>58</v>
      </c>
      <c r="S62" s="7"/>
      <c r="T62" s="7"/>
      <c r="U62" s="7"/>
      <c r="V62" s="7"/>
    </row>
    <row r="63" spans="2:22" x14ac:dyDescent="0.2">
      <c r="B63" s="19"/>
      <c r="C63" s="19"/>
      <c r="M63" t="s">
        <v>3</v>
      </c>
      <c r="O63" s="8" t="s">
        <v>50</v>
      </c>
      <c r="P63" s="11">
        <v>917975.97125080903</v>
      </c>
      <c r="Q63" s="11">
        <v>873760.02524071594</v>
      </c>
      <c r="R63" s="11">
        <v>142015.24587879001</v>
      </c>
      <c r="S63" s="7"/>
      <c r="T63" s="7"/>
      <c r="U63" s="7"/>
      <c r="V63" s="7"/>
    </row>
    <row r="64" spans="2:22" x14ac:dyDescent="0.2">
      <c r="B64" s="19"/>
      <c r="C64" s="19"/>
      <c r="M64" t="s">
        <v>3</v>
      </c>
      <c r="O64" s="8" t="s">
        <v>51</v>
      </c>
      <c r="P64" s="11">
        <v>265368.28425529302</v>
      </c>
      <c r="Q64" s="11">
        <v>600196.93358938803</v>
      </c>
      <c r="R64" s="11">
        <v>285088.28820961103</v>
      </c>
      <c r="S64" s="7"/>
      <c r="T64" s="7"/>
      <c r="U64" s="7"/>
      <c r="V64" s="7"/>
    </row>
    <row r="65" spans="2:24" x14ac:dyDescent="0.2">
      <c r="B65" s="19"/>
      <c r="C65" s="19"/>
      <c r="M65" t="s">
        <v>3</v>
      </c>
      <c r="O65" s="8" t="s">
        <v>52</v>
      </c>
      <c r="P65" s="11">
        <v>32216.955425869</v>
      </c>
      <c r="Q65" s="11">
        <v>28247.291657441601</v>
      </c>
      <c r="R65" s="11">
        <v>6393.2479638885097</v>
      </c>
      <c r="S65" s="7"/>
      <c r="T65" s="7"/>
      <c r="U65" s="7"/>
      <c r="V65" s="7"/>
    </row>
    <row r="66" spans="2:24" x14ac:dyDescent="0.2">
      <c r="B66" s="19"/>
      <c r="C66" s="19"/>
      <c r="M66" t="s">
        <v>3</v>
      </c>
    </row>
    <row r="67" spans="2:24" x14ac:dyDescent="0.2">
      <c r="B67" s="19"/>
      <c r="C67" s="19"/>
      <c r="M67" t="s">
        <v>3</v>
      </c>
    </row>
    <row r="68" spans="2:24" x14ac:dyDescent="0.2">
      <c r="B68" s="19"/>
      <c r="C68" s="19"/>
      <c r="O68" s="2"/>
      <c r="P68" s="2"/>
      <c r="Q68" s="2"/>
      <c r="R68" s="2" t="s">
        <v>37</v>
      </c>
      <c r="S68" s="2"/>
      <c r="T68" s="2"/>
      <c r="U68" s="2"/>
      <c r="V68" s="2"/>
    </row>
    <row r="69" spans="2:24" x14ac:dyDescent="0.2">
      <c r="B69" s="19"/>
      <c r="C69" s="19"/>
      <c r="O69" s="3"/>
      <c r="P69" s="3" t="s">
        <v>38</v>
      </c>
      <c r="Q69" s="3" t="s">
        <v>39</v>
      </c>
      <c r="R69" s="3" t="s">
        <v>40</v>
      </c>
      <c r="S69" s="2"/>
      <c r="T69" s="2"/>
      <c r="U69" s="2"/>
      <c r="V69" s="2"/>
    </row>
    <row r="70" spans="2:24" x14ac:dyDescent="0.2">
      <c r="B70" s="19"/>
      <c r="C70" s="19"/>
      <c r="O70" s="3" t="s">
        <v>41</v>
      </c>
      <c r="P70" s="14">
        <v>109154.995389196</v>
      </c>
      <c r="Q70" s="6">
        <v>1247688.54388692</v>
      </c>
      <c r="R70" s="6">
        <v>125897.418624297</v>
      </c>
      <c r="S70" s="5">
        <f>Q70-P70</f>
        <v>1138533.5484977239</v>
      </c>
      <c r="T70" s="5">
        <f>Q70-R70</f>
        <v>1121791.125262623</v>
      </c>
      <c r="U70" s="2">
        <f>T70/S70</f>
        <v>0.98529474756611934</v>
      </c>
      <c r="V70" s="2">
        <f>U70/3+U71/3+U72/3</f>
        <v>0.65837697466923117</v>
      </c>
    </row>
    <row r="71" spans="2:24" x14ac:dyDescent="0.2">
      <c r="B71" s="19"/>
      <c r="C71" s="19"/>
      <c r="O71" s="3" t="s">
        <v>42</v>
      </c>
      <c r="P71" s="6">
        <v>19503.737544713698</v>
      </c>
      <c r="Q71" s="6">
        <v>600107.867257901</v>
      </c>
      <c r="R71" s="6">
        <v>25761.3859367353</v>
      </c>
      <c r="S71" s="5">
        <f>Q71-P71</f>
        <v>580604.12971318734</v>
      </c>
      <c r="T71" s="5">
        <f>Q71-R71</f>
        <v>574346.48132116569</v>
      </c>
      <c r="U71" s="2">
        <f>T71/S71</f>
        <v>0.98922217726023953</v>
      </c>
      <c r="V71" s="2"/>
    </row>
    <row r="72" spans="2:24" x14ac:dyDescent="0.2">
      <c r="B72" s="19"/>
      <c r="C72" s="19"/>
      <c r="O72" s="3" t="s">
        <v>43</v>
      </c>
      <c r="P72" s="6">
        <v>74462.535108817596</v>
      </c>
      <c r="Q72" s="6">
        <v>6407.1766086899697</v>
      </c>
      <c r="R72" s="6">
        <v>6448.9625430944998</v>
      </c>
      <c r="S72" s="5">
        <f>P72-Q72</f>
        <v>68055.358500127622</v>
      </c>
      <c r="T72" s="12">
        <f>R72-Q72</f>
        <v>41.785934404530053</v>
      </c>
      <c r="U72" s="12">
        <f>T72/S72</f>
        <v>6.1399918133487892E-4</v>
      </c>
      <c r="V72" s="2"/>
    </row>
    <row r="73" spans="2:24" x14ac:dyDescent="0.2">
      <c r="B73" s="19"/>
      <c r="C73" s="19"/>
      <c r="O73" s="2"/>
      <c r="P73" s="5"/>
      <c r="Q73" s="5"/>
      <c r="R73" s="5"/>
      <c r="S73" s="2"/>
      <c r="T73" s="2"/>
      <c r="U73" s="2"/>
      <c r="V73" s="2"/>
    </row>
    <row r="74" spans="2:24" x14ac:dyDescent="0.2">
      <c r="B74" s="19"/>
      <c r="C74" s="19"/>
      <c r="O74" s="2"/>
      <c r="P74" s="5"/>
      <c r="Q74" s="5"/>
      <c r="R74" s="5"/>
      <c r="S74" s="2"/>
      <c r="T74" s="2"/>
      <c r="U74" s="2"/>
      <c r="V74" s="2"/>
    </row>
    <row r="75" spans="2:24" x14ac:dyDescent="0.2">
      <c r="B75" s="19"/>
      <c r="C75" s="19"/>
      <c r="O75" s="2"/>
      <c r="P75" s="5"/>
      <c r="Q75" s="5"/>
      <c r="R75" s="5"/>
      <c r="S75" s="2"/>
      <c r="T75" s="2"/>
      <c r="U75" s="2"/>
      <c r="V75" s="2"/>
    </row>
    <row r="76" spans="2:24" x14ac:dyDescent="0.2">
      <c r="B76" s="19"/>
      <c r="C76" s="19"/>
      <c r="O76" s="2"/>
      <c r="P76" s="5"/>
      <c r="Q76" s="5"/>
      <c r="R76" s="5"/>
      <c r="S76" s="2"/>
      <c r="T76" s="2"/>
      <c r="U76" s="2"/>
      <c r="V76" s="2"/>
    </row>
    <row r="77" spans="2:24" x14ac:dyDescent="0.2">
      <c r="B77" s="19"/>
      <c r="C77" s="19"/>
      <c r="O77" s="2"/>
      <c r="P77" s="5"/>
      <c r="Q77" s="5" t="s">
        <v>44</v>
      </c>
      <c r="R77" s="5" t="s">
        <v>45</v>
      </c>
      <c r="S77" s="2"/>
      <c r="T77" s="2"/>
      <c r="U77" s="2"/>
      <c r="V77" s="2"/>
    </row>
    <row r="78" spans="2:24" x14ac:dyDescent="0.2">
      <c r="B78" s="19"/>
      <c r="C78" s="19"/>
      <c r="O78" s="3" t="s">
        <v>46</v>
      </c>
      <c r="P78" s="4" t="s">
        <v>47</v>
      </c>
      <c r="Q78" s="4" t="s">
        <v>48</v>
      </c>
      <c r="R78" s="4" t="s">
        <v>49</v>
      </c>
      <c r="S78" s="2"/>
      <c r="T78" s="2" t="s">
        <v>3</v>
      </c>
      <c r="U78" s="2" t="s">
        <v>63</v>
      </c>
      <c r="V78" s="2"/>
    </row>
    <row r="79" spans="2:24" x14ac:dyDescent="0.2">
      <c r="B79" s="19"/>
      <c r="C79" s="19"/>
      <c r="O79" s="3" t="s">
        <v>50</v>
      </c>
      <c r="P79" s="14">
        <v>109154.995389196</v>
      </c>
      <c r="Q79" s="6">
        <v>929608.57085957006</v>
      </c>
      <c r="R79" s="6">
        <v>1189888.54388692</v>
      </c>
      <c r="S79" s="2"/>
      <c r="T79" s="2"/>
      <c r="U79" s="2"/>
      <c r="V79" s="2" t="s">
        <v>3</v>
      </c>
      <c r="X79" t="s">
        <v>3</v>
      </c>
    </row>
    <row r="80" spans="2:24" x14ac:dyDescent="0.2">
      <c r="B80" s="19"/>
      <c r="C80" s="19"/>
      <c r="O80" s="3" t="s">
        <v>51</v>
      </c>
      <c r="P80" s="14">
        <v>244078.79850326601</v>
      </c>
      <c r="Q80" s="6">
        <v>19505.5849552488</v>
      </c>
      <c r="R80" s="6">
        <v>274512.85122747702</v>
      </c>
      <c r="S80" s="2"/>
      <c r="T80" s="2"/>
      <c r="U80" s="2"/>
      <c r="V80" s="2"/>
    </row>
    <row r="81" spans="2:22" x14ac:dyDescent="0.2">
      <c r="B81" s="19"/>
      <c r="C81" s="19"/>
      <c r="O81" s="3" t="s">
        <v>52</v>
      </c>
      <c r="P81" s="14">
        <v>5787.3519150232496</v>
      </c>
      <c r="Q81" s="6">
        <v>47865.787860352102</v>
      </c>
      <c r="R81" s="6">
        <v>74462.535108817596</v>
      </c>
      <c r="S81" s="2"/>
      <c r="T81" s="2"/>
      <c r="U81" s="2"/>
      <c r="V81" s="2"/>
    </row>
    <row r="82" spans="2:22" x14ac:dyDescent="0.2">
      <c r="B82" s="19"/>
      <c r="C82" s="19"/>
      <c r="O82" s="2"/>
      <c r="P82" s="5"/>
      <c r="Q82" s="5"/>
      <c r="R82" s="5"/>
      <c r="S82" s="2"/>
      <c r="T82" s="2"/>
      <c r="U82" s="2"/>
      <c r="V82" s="2"/>
    </row>
    <row r="83" spans="2:22" x14ac:dyDescent="0.2">
      <c r="B83" s="19"/>
      <c r="C83" s="19"/>
      <c r="O83" s="2"/>
      <c r="P83" s="5" t="s">
        <v>53</v>
      </c>
      <c r="Q83" s="5" t="s">
        <v>54</v>
      </c>
      <c r="R83" s="5" t="s">
        <v>55</v>
      </c>
      <c r="S83" s="2"/>
      <c r="T83" s="2"/>
      <c r="U83" s="2"/>
      <c r="V83" s="2"/>
    </row>
    <row r="84" spans="2:22" x14ac:dyDescent="0.2">
      <c r="B84" s="19"/>
      <c r="C84" s="19"/>
      <c r="O84" s="3" t="s">
        <v>46</v>
      </c>
      <c r="P84" s="4" t="s">
        <v>56</v>
      </c>
      <c r="Q84" s="4" t="s">
        <v>57</v>
      </c>
      <c r="R84" s="4" t="s">
        <v>58</v>
      </c>
      <c r="S84" s="2"/>
      <c r="T84" s="2"/>
      <c r="U84" s="2"/>
      <c r="V84" s="2"/>
    </row>
    <row r="85" spans="2:22" x14ac:dyDescent="0.2">
      <c r="B85" s="19"/>
      <c r="C85" s="19"/>
      <c r="O85" s="3" t="s">
        <v>50</v>
      </c>
      <c r="P85" s="6">
        <v>1247688.54388692</v>
      </c>
      <c r="Q85" s="6">
        <v>764942.92777616601</v>
      </c>
      <c r="R85" s="6">
        <v>146312.277040154</v>
      </c>
      <c r="S85" s="2"/>
      <c r="T85" s="2"/>
      <c r="U85" s="2"/>
      <c r="V85" s="2"/>
    </row>
    <row r="86" spans="2:22" x14ac:dyDescent="0.2">
      <c r="B86" s="19"/>
      <c r="C86" s="19"/>
      <c r="O86" s="3" t="s">
        <v>51</v>
      </c>
      <c r="P86" s="6">
        <v>273876.27997456799</v>
      </c>
      <c r="Q86" s="6">
        <v>600107.867257901</v>
      </c>
      <c r="R86" s="6">
        <v>240893.91569000899</v>
      </c>
      <c r="S86" s="2"/>
      <c r="T86" s="2"/>
      <c r="U86" s="2"/>
      <c r="V86" s="2"/>
    </row>
    <row r="87" spans="2:22" x14ac:dyDescent="0.2">
      <c r="B87" s="19"/>
      <c r="C87" s="19"/>
      <c r="O87" s="3" t="s">
        <v>52</v>
      </c>
      <c r="P87" s="6">
        <v>74462.535108817596</v>
      </c>
      <c r="Q87" s="6">
        <v>34166.965666099903</v>
      </c>
      <c r="R87" s="6">
        <v>6407.1766086899697</v>
      </c>
      <c r="S87" s="2"/>
      <c r="T87" s="2"/>
      <c r="U87" s="2"/>
      <c r="V87" s="2"/>
    </row>
    <row r="88" spans="2:22" x14ac:dyDescent="0.2">
      <c r="B88" s="19"/>
      <c r="C88" s="19"/>
      <c r="L88" t="s">
        <v>3</v>
      </c>
    </row>
    <row r="89" spans="2:22" x14ac:dyDescent="0.2">
      <c r="B89" s="19"/>
      <c r="C89" s="19"/>
    </row>
    <row r="90" spans="2:22" x14ac:dyDescent="0.2">
      <c r="B90" s="19"/>
      <c r="C90" s="19"/>
      <c r="O90" s="7"/>
      <c r="P90" s="7"/>
      <c r="Q90" s="7"/>
      <c r="R90" s="7" t="s">
        <v>37</v>
      </c>
      <c r="S90" s="7"/>
      <c r="T90" s="7"/>
      <c r="U90" s="7"/>
      <c r="V90" s="7"/>
    </row>
    <row r="91" spans="2:22" x14ac:dyDescent="0.2">
      <c r="B91" s="19"/>
      <c r="C91" s="19"/>
      <c r="O91" s="8"/>
      <c r="P91" s="8" t="s">
        <v>38</v>
      </c>
      <c r="Q91" s="8" t="s">
        <v>39</v>
      </c>
      <c r="R91" s="8" t="s">
        <v>40</v>
      </c>
      <c r="S91" s="7"/>
      <c r="T91" s="7"/>
      <c r="U91" s="7"/>
      <c r="V91" s="7"/>
    </row>
    <row r="92" spans="2:22" x14ac:dyDescent="0.2">
      <c r="B92" s="19"/>
      <c r="C92" s="19"/>
      <c r="O92" s="8" t="s">
        <v>41</v>
      </c>
      <c r="P92" s="11">
        <v>131012.99154957601</v>
      </c>
      <c r="Q92" s="11">
        <v>1247688.5438868699</v>
      </c>
      <c r="R92" s="11">
        <v>138083.397149119</v>
      </c>
      <c r="S92" s="10">
        <f>Q92-P92</f>
        <v>1116675.552337294</v>
      </c>
      <c r="T92" s="10">
        <f>Q92-R92</f>
        <v>1109605.1467377509</v>
      </c>
      <c r="U92" s="7">
        <f>T92/S92</f>
        <v>0.99366834387594127</v>
      </c>
      <c r="V92" s="7">
        <f>U92/3+U93/3+U94/3</f>
        <v>0.65679035922621753</v>
      </c>
    </row>
    <row r="93" spans="2:22" x14ac:dyDescent="0.2">
      <c r="O93" s="8" t="s">
        <v>42</v>
      </c>
      <c r="P93" s="11">
        <v>19551.2179904023</v>
      </c>
      <c r="Q93" s="11">
        <v>602489.79816424299</v>
      </c>
      <c r="R93" s="11">
        <v>28946.893206596</v>
      </c>
      <c r="S93" s="10">
        <f>Q93-P93</f>
        <v>582938.58017384075</v>
      </c>
      <c r="T93" s="10">
        <f>Q93-R93</f>
        <v>573542.90495764697</v>
      </c>
      <c r="U93" s="7">
        <f>T93/S93</f>
        <v>0.98388222098219702</v>
      </c>
      <c r="V93" s="7"/>
    </row>
    <row r="94" spans="2:22" x14ac:dyDescent="0.2">
      <c r="O94" s="8" t="s">
        <v>43</v>
      </c>
      <c r="P94" s="11">
        <v>74462.535108817596</v>
      </c>
      <c r="Q94" s="11">
        <v>6560.3917015064098</v>
      </c>
      <c r="R94" s="11">
        <f>S96/10</f>
        <v>6072.8891334540103</v>
      </c>
      <c r="S94" s="10">
        <f>P94-Q94</f>
        <v>67902.143407311189</v>
      </c>
      <c r="T94" s="13">
        <f>R94-Q94</f>
        <v>-487.50256805239951</v>
      </c>
      <c r="U94" s="13">
        <f>T94/S94</f>
        <v>-7.1794871794858385E-3</v>
      </c>
      <c r="V94" s="7"/>
    </row>
    <row r="95" spans="2:22" x14ac:dyDescent="0.2">
      <c r="O95" s="7"/>
      <c r="P95" s="10"/>
      <c r="Q95" s="10"/>
      <c r="R95" s="10"/>
      <c r="S95" s="7"/>
      <c r="T95" s="7"/>
      <c r="U95" s="7"/>
      <c r="V95" s="7"/>
    </row>
    <row r="96" spans="2:22" x14ac:dyDescent="0.2">
      <c r="O96" s="7"/>
      <c r="P96" s="10"/>
      <c r="Q96" s="10"/>
      <c r="R96" s="10"/>
      <c r="S96" s="11">
        <v>60728.891334540102</v>
      </c>
      <c r="T96" s="7"/>
      <c r="U96" s="7"/>
      <c r="V96" s="7"/>
    </row>
    <row r="97" spans="15:24" x14ac:dyDescent="0.2">
      <c r="O97" s="7"/>
      <c r="P97" s="10"/>
      <c r="Q97" s="10"/>
      <c r="R97" s="10"/>
      <c r="S97" s="7"/>
      <c r="T97" s="7"/>
      <c r="U97" s="7"/>
      <c r="V97" s="7"/>
      <c r="X97" t="s">
        <v>3</v>
      </c>
    </row>
    <row r="98" spans="15:24" x14ac:dyDescent="0.2">
      <c r="O98" s="7"/>
      <c r="P98" s="10"/>
      <c r="Q98" s="10"/>
      <c r="R98" s="10"/>
      <c r="S98" s="7"/>
      <c r="T98" s="7"/>
      <c r="U98" s="7"/>
      <c r="V98" s="7"/>
    </row>
    <row r="99" spans="15:24" x14ac:dyDescent="0.2">
      <c r="O99" s="7"/>
      <c r="P99" s="10"/>
      <c r="Q99" s="10" t="s">
        <v>44</v>
      </c>
      <c r="R99" s="10" t="s">
        <v>45</v>
      </c>
      <c r="S99" s="7"/>
      <c r="T99" s="7"/>
      <c r="U99" s="7"/>
      <c r="V99" s="7"/>
    </row>
    <row r="100" spans="15:24" x14ac:dyDescent="0.2">
      <c r="O100" s="8" t="s">
        <v>46</v>
      </c>
      <c r="P100" s="9" t="s">
        <v>47</v>
      </c>
      <c r="Q100" s="9" t="s">
        <v>48</v>
      </c>
      <c r="R100" s="9" t="s">
        <v>49</v>
      </c>
      <c r="S100" s="7"/>
      <c r="T100" s="7"/>
      <c r="U100" s="7"/>
      <c r="V100" s="7"/>
    </row>
    <row r="101" spans="15:24" x14ac:dyDescent="0.2">
      <c r="O101" s="8" t="s">
        <v>50</v>
      </c>
      <c r="P101" s="11">
        <v>131012.99154957601</v>
      </c>
      <c r="Q101" s="11">
        <v>1247688.5438868699</v>
      </c>
      <c r="R101" s="11">
        <v>1247688.5438868699</v>
      </c>
      <c r="S101" s="7"/>
      <c r="T101" s="7"/>
      <c r="U101" s="7"/>
      <c r="V101" s="7"/>
      <c r="X101" t="s">
        <v>3</v>
      </c>
    </row>
    <row r="102" spans="15:24" x14ac:dyDescent="0.2">
      <c r="O102" s="8" t="s">
        <v>51</v>
      </c>
      <c r="P102" s="11">
        <v>272810.07375830499</v>
      </c>
      <c r="Q102" s="11">
        <v>19551.2179904023</v>
      </c>
      <c r="R102" s="11">
        <v>265531.64790001902</v>
      </c>
      <c r="S102" s="7"/>
      <c r="T102" s="7"/>
      <c r="U102" s="7"/>
      <c r="V102" s="7"/>
    </row>
    <row r="103" spans="15:24" x14ac:dyDescent="0.2">
      <c r="O103" s="8" t="s">
        <v>52</v>
      </c>
      <c r="P103" s="11">
        <v>6072.8891334539903</v>
      </c>
      <c r="Q103" s="11">
        <v>74462.535108817596</v>
      </c>
      <c r="R103" s="11">
        <v>74462.535108817596</v>
      </c>
      <c r="S103" s="7"/>
      <c r="T103" s="7"/>
      <c r="U103" s="7"/>
      <c r="V103" s="7"/>
    </row>
    <row r="104" spans="15:24" x14ac:dyDescent="0.2">
      <c r="O104" s="7"/>
      <c r="P104" s="10"/>
      <c r="Q104" s="10"/>
      <c r="R104" s="10"/>
      <c r="S104" s="7"/>
      <c r="T104" s="7"/>
      <c r="U104" s="7"/>
      <c r="V104" s="7"/>
    </row>
    <row r="105" spans="15:24" x14ac:dyDescent="0.2">
      <c r="O105" s="7"/>
      <c r="P105" s="10" t="s">
        <v>53</v>
      </c>
      <c r="Q105" s="10" t="s">
        <v>54</v>
      </c>
      <c r="R105" s="10" t="s">
        <v>55</v>
      </c>
      <c r="S105" s="7"/>
      <c r="T105" s="7"/>
      <c r="U105" s="7"/>
      <c r="V105" s="7"/>
    </row>
    <row r="106" spans="15:24" x14ac:dyDescent="0.2">
      <c r="O106" s="8" t="s">
        <v>46</v>
      </c>
      <c r="P106" s="9" t="s">
        <v>56</v>
      </c>
      <c r="Q106" s="9" t="s">
        <v>57</v>
      </c>
      <c r="R106" s="9" t="s">
        <v>58</v>
      </c>
      <c r="S106" s="7"/>
      <c r="T106" s="7"/>
      <c r="U106" s="7"/>
      <c r="V106" s="7"/>
    </row>
    <row r="107" spans="15:24" x14ac:dyDescent="0.2">
      <c r="O107" s="8" t="s">
        <v>50</v>
      </c>
      <c r="P107" s="11">
        <v>1247688.5438868699</v>
      </c>
      <c r="Q107" s="11">
        <v>1247688.5438868699</v>
      </c>
      <c r="R107" s="11">
        <v>161256.00081266501</v>
      </c>
      <c r="S107" s="7"/>
      <c r="T107" s="7"/>
      <c r="U107" s="7"/>
      <c r="V107" s="7"/>
    </row>
    <row r="108" spans="15:24" x14ac:dyDescent="0.2">
      <c r="O108" s="8" t="s">
        <v>51</v>
      </c>
      <c r="P108" s="11">
        <v>265531.64790001902</v>
      </c>
      <c r="Q108" s="11">
        <v>602489.79816424299</v>
      </c>
      <c r="R108" s="11">
        <v>270780.37350949203</v>
      </c>
      <c r="S108" s="7"/>
      <c r="T108" s="7"/>
      <c r="U108" s="7"/>
      <c r="V108" s="7"/>
    </row>
    <row r="109" spans="15:24" x14ac:dyDescent="0.2">
      <c r="O109" s="8" t="s">
        <v>52</v>
      </c>
      <c r="P109" s="11">
        <v>74462.535108817596</v>
      </c>
      <c r="Q109" s="11">
        <v>74462.535108817596</v>
      </c>
      <c r="R109" s="11">
        <v>6560.3917015064098</v>
      </c>
      <c r="S109" s="7"/>
      <c r="T109" s="7"/>
      <c r="U109" s="7"/>
      <c r="V109" s="7"/>
    </row>
    <row r="113" spans="5:22" x14ac:dyDescent="0.2">
      <c r="O113" t="s">
        <v>65</v>
      </c>
    </row>
    <row r="114" spans="5:22" x14ac:dyDescent="0.2">
      <c r="O114" s="7"/>
      <c r="P114" s="7"/>
      <c r="Q114" s="7"/>
      <c r="R114" s="7" t="s">
        <v>37</v>
      </c>
      <c r="S114" s="7"/>
      <c r="T114" s="7"/>
      <c r="U114" s="7"/>
      <c r="V114" s="7"/>
    </row>
    <row r="115" spans="5:22" x14ac:dyDescent="0.2">
      <c r="O115" s="8"/>
      <c r="P115" s="8" t="s">
        <v>38</v>
      </c>
      <c r="Q115" s="8" t="s">
        <v>39</v>
      </c>
      <c r="R115" s="8" t="s">
        <v>40</v>
      </c>
      <c r="S115" s="7"/>
      <c r="T115" s="7"/>
      <c r="U115" s="7"/>
      <c r="V115" s="7"/>
    </row>
    <row r="116" spans="5:22" x14ac:dyDescent="0.2">
      <c r="O116" s="8" t="s">
        <v>41</v>
      </c>
      <c r="P116" s="11">
        <v>88030.520991926998</v>
      </c>
      <c r="Q116" s="11">
        <v>1247688.5438868699</v>
      </c>
      <c r="R116" s="11">
        <v>221324.644681843</v>
      </c>
      <c r="S116" s="10">
        <f>Q116-P116</f>
        <v>1159658.0228949429</v>
      </c>
      <c r="T116" s="10">
        <f>Q116-R116</f>
        <v>1026363.8992050269</v>
      </c>
      <c r="U116" s="7">
        <f>T116/S116</f>
        <v>0.88505738669649892</v>
      </c>
      <c r="V116" s="7">
        <f>U116/3+U117/3+U118/3</f>
        <v>21346.592372740648</v>
      </c>
    </row>
    <row r="117" spans="5:22" x14ac:dyDescent="0.2">
      <c r="O117" s="8" t="s">
        <v>42</v>
      </c>
      <c r="P117" s="11">
        <v>19578.649347258</v>
      </c>
      <c r="Q117" s="11">
        <v>600169.902122161</v>
      </c>
      <c r="R117" s="11">
        <v>50009.7939589952</v>
      </c>
      <c r="S117" s="10">
        <f>Q117-P117</f>
        <v>580591.25277490297</v>
      </c>
      <c r="T117" s="10">
        <f>Q117-R117</f>
        <v>550160.10816316586</v>
      </c>
      <c r="U117" s="7">
        <f>T117/S117</f>
        <v>0.9475859402526422</v>
      </c>
      <c r="V117" s="7"/>
    </row>
    <row r="118" spans="5:22" x14ac:dyDescent="0.2">
      <c r="O118" s="8" t="s">
        <v>43</v>
      </c>
      <c r="P118" s="11">
        <v>74462.535108817596</v>
      </c>
      <c r="Q118" s="11">
        <v>74463.535108817596</v>
      </c>
      <c r="R118" s="11">
        <v>10425.5906339226</v>
      </c>
      <c r="S118" s="10">
        <f>P118-Q118</f>
        <v>-1</v>
      </c>
      <c r="T118" s="13">
        <f>R118-Q118</f>
        <v>-64037.944474894997</v>
      </c>
      <c r="U118" s="13">
        <f>T118/S118</f>
        <v>64037.944474894997</v>
      </c>
      <c r="V118" s="7"/>
    </row>
    <row r="119" spans="5:22" x14ac:dyDescent="0.2">
      <c r="O119" s="7"/>
      <c r="P119" s="10"/>
      <c r="Q119" s="10"/>
      <c r="R119" s="10"/>
      <c r="S119" s="7"/>
      <c r="T119" s="7"/>
      <c r="U119" s="7"/>
      <c r="V119" s="7"/>
    </row>
    <row r="120" spans="5:22" x14ac:dyDescent="0.2">
      <c r="O120" s="7"/>
      <c r="P120" s="10" t="s">
        <v>66</v>
      </c>
      <c r="Q120" s="10" t="s">
        <v>67</v>
      </c>
      <c r="R120" s="10"/>
      <c r="S120" s="7"/>
      <c r="T120" s="7"/>
      <c r="U120" s="7"/>
      <c r="V120" s="7"/>
    </row>
    <row r="121" spans="5:22" x14ac:dyDescent="0.2">
      <c r="O121" s="7"/>
      <c r="P121" s="10"/>
      <c r="Q121" s="10"/>
      <c r="R121" s="10"/>
      <c r="S121" s="7"/>
      <c r="T121" s="7"/>
      <c r="U121" s="7"/>
      <c r="V121" s="7"/>
    </row>
    <row r="122" spans="5:22" x14ac:dyDescent="0.2">
      <c r="O122" s="7"/>
      <c r="P122" s="10"/>
      <c r="Q122" s="10"/>
      <c r="R122" s="10"/>
      <c r="S122" s="7"/>
      <c r="T122" s="7"/>
      <c r="U122" s="7"/>
      <c r="V122" s="7"/>
    </row>
    <row r="123" spans="5:22" x14ac:dyDescent="0.2">
      <c r="O123" s="7"/>
      <c r="P123" s="10"/>
      <c r="Q123" s="10" t="s">
        <v>44</v>
      </c>
      <c r="R123" s="10" t="s">
        <v>45</v>
      </c>
      <c r="S123" s="7"/>
      <c r="T123" s="7"/>
      <c r="U123" s="7"/>
      <c r="V123" s="7"/>
    </row>
    <row r="124" spans="5:22" x14ac:dyDescent="0.2">
      <c r="O124" s="8" t="s">
        <v>46</v>
      </c>
      <c r="P124" s="9" t="s">
        <v>47</v>
      </c>
      <c r="Q124" s="9" t="s">
        <v>48</v>
      </c>
      <c r="R124" s="9" t="s">
        <v>49</v>
      </c>
      <c r="S124" s="7"/>
      <c r="T124" s="7"/>
      <c r="U124" s="7"/>
      <c r="V124" s="7"/>
    </row>
    <row r="125" spans="5:22" x14ac:dyDescent="0.2">
      <c r="O125" s="8" t="s">
        <v>50</v>
      </c>
      <c r="P125" s="11">
        <v>88030.520991926998</v>
      </c>
      <c r="Q125" s="11">
        <v>1247688.54388692</v>
      </c>
      <c r="R125" s="11">
        <v>1247688.54388692</v>
      </c>
      <c r="S125" s="7"/>
      <c r="T125" s="7"/>
      <c r="U125" s="7"/>
      <c r="V125" s="7"/>
    </row>
    <row r="126" spans="5:22" x14ac:dyDescent="0.2">
      <c r="E126" s="1"/>
      <c r="F126" s="20" t="s">
        <v>0</v>
      </c>
      <c r="G126" s="20"/>
      <c r="H126">
        <v>252296.510877099</v>
      </c>
      <c r="I126">
        <v>200220.552233347</v>
      </c>
      <c r="J126">
        <v>59336.026854390198</v>
      </c>
      <c r="O126" s="8" t="s">
        <v>51</v>
      </c>
      <c r="P126" s="11">
        <v>260374.41634861601</v>
      </c>
      <c r="Q126" s="11">
        <v>19578.649347258</v>
      </c>
      <c r="R126" s="11">
        <v>268772.90436682903</v>
      </c>
      <c r="S126" s="7"/>
      <c r="T126" s="7"/>
      <c r="U126" s="7"/>
      <c r="V126" s="7"/>
    </row>
    <row r="127" spans="5:22" x14ac:dyDescent="0.2">
      <c r="E127" s="1"/>
      <c r="F127" s="20" t="s">
        <v>1</v>
      </c>
      <c r="G127" s="20"/>
      <c r="H127">
        <v>7341461.3683231603</v>
      </c>
      <c r="I127">
        <v>13446.273673866501</v>
      </c>
      <c r="J127">
        <v>1985667.60290176</v>
      </c>
      <c r="O127" s="8" t="s">
        <v>52</v>
      </c>
      <c r="P127" s="11">
        <v>5787.3519150232596</v>
      </c>
      <c r="Q127" s="11">
        <v>32446.7780650942</v>
      </c>
      <c r="R127" s="11">
        <v>74462.535108817596</v>
      </c>
      <c r="S127" s="7"/>
      <c r="T127" s="7"/>
      <c r="U127" s="7"/>
      <c r="V127" s="7"/>
    </row>
    <row r="128" spans="5:22" x14ac:dyDescent="0.2">
      <c r="E128" s="1"/>
      <c r="F128" s="20" t="s">
        <v>2</v>
      </c>
      <c r="G128" s="20"/>
      <c r="H128">
        <v>5841752.7761914404</v>
      </c>
      <c r="I128">
        <v>265531.64790001902</v>
      </c>
      <c r="J128">
        <v>1985667.60290176</v>
      </c>
      <c r="O128" s="7"/>
      <c r="P128" s="10"/>
      <c r="Q128" s="10"/>
      <c r="R128" s="10"/>
      <c r="S128" s="7"/>
      <c r="T128" s="7"/>
      <c r="U128" s="7"/>
      <c r="V128" s="7"/>
    </row>
    <row r="129" spans="5:25" x14ac:dyDescent="0.2">
      <c r="O129" s="7"/>
      <c r="P129" s="10" t="s">
        <v>53</v>
      </c>
      <c r="Q129" s="10" t="s">
        <v>54</v>
      </c>
      <c r="R129" s="10" t="s">
        <v>55</v>
      </c>
      <c r="S129" s="7"/>
      <c r="T129" s="7"/>
      <c r="U129" s="7"/>
      <c r="V129" s="7"/>
      <c r="Y129">
        <v>3</v>
      </c>
    </row>
    <row r="130" spans="5:25" x14ac:dyDescent="0.2">
      <c r="O130" s="8" t="s">
        <v>46</v>
      </c>
      <c r="P130" s="9" t="s">
        <v>56</v>
      </c>
      <c r="Q130" s="9" t="s">
        <v>57</v>
      </c>
      <c r="R130" s="9" t="s">
        <v>58</v>
      </c>
      <c r="S130" s="7"/>
      <c r="T130" s="7"/>
      <c r="U130" s="7"/>
      <c r="V130" s="7"/>
    </row>
    <row r="131" spans="5:25" x14ac:dyDescent="0.2">
      <c r="O131" s="8" t="s">
        <v>50</v>
      </c>
      <c r="P131" s="11">
        <v>1247688.54388692</v>
      </c>
      <c r="Q131" s="11">
        <v>871326.36966781004</v>
      </c>
      <c r="R131" s="11">
        <v>1247688.54388692</v>
      </c>
      <c r="S131" s="7"/>
      <c r="T131" s="7"/>
      <c r="U131" s="7"/>
      <c r="V131" s="7"/>
    </row>
    <row r="132" spans="5:25" x14ac:dyDescent="0.2">
      <c r="E132" s="1"/>
      <c r="F132" s="20" t="s">
        <v>13</v>
      </c>
      <c r="G132" s="20"/>
      <c r="H132">
        <v>7341461.3683231603</v>
      </c>
      <c r="I132">
        <v>265531.64790001902</v>
      </c>
      <c r="J132">
        <v>1985667.60290176</v>
      </c>
      <c r="O132" s="8" t="s">
        <v>51</v>
      </c>
      <c r="P132" s="11">
        <v>265531.64790001902</v>
      </c>
      <c r="Q132" s="11">
        <v>600169.902122161</v>
      </c>
      <c r="R132" s="11">
        <v>265531.64790001902</v>
      </c>
      <c r="S132" s="7"/>
      <c r="T132" s="7"/>
      <c r="U132" s="7"/>
      <c r="V132" s="7"/>
    </row>
    <row r="133" spans="5:25" x14ac:dyDescent="0.2">
      <c r="E133" s="1" t="s">
        <v>3</v>
      </c>
      <c r="F133" s="20" t="s">
        <v>14</v>
      </c>
      <c r="G133" s="20"/>
      <c r="H133">
        <v>5841752.7761914404</v>
      </c>
      <c r="I133">
        <v>643470.91117525101</v>
      </c>
      <c r="J133">
        <v>1985667.60290176</v>
      </c>
      <c r="O133" s="8" t="s">
        <v>52</v>
      </c>
      <c r="P133" s="11">
        <v>74462.535108817596</v>
      </c>
      <c r="Q133" s="11">
        <v>28289.0775918461</v>
      </c>
      <c r="R133" s="11">
        <v>74462.535108817596</v>
      </c>
      <c r="S133" s="7"/>
      <c r="T133" s="7"/>
      <c r="U133" s="7"/>
      <c r="V133" s="7"/>
    </row>
    <row r="134" spans="5:25" x14ac:dyDescent="0.2">
      <c r="E134" s="1"/>
      <c r="F134" s="20" t="s">
        <v>15</v>
      </c>
      <c r="G134" s="20"/>
      <c r="H134">
        <v>236625.90309616999</v>
      </c>
      <c r="I134">
        <v>228846.259976345</v>
      </c>
      <c r="J134">
        <v>63561.332808575899</v>
      </c>
      <c r="O134" s="15"/>
      <c r="P134" s="16"/>
      <c r="Q134" s="16"/>
      <c r="R134" s="16"/>
      <c r="S134" s="15"/>
      <c r="T134" s="15"/>
      <c r="U134" s="15"/>
      <c r="V134" s="15"/>
    </row>
    <row r="135" spans="5:25" x14ac:dyDescent="0.2">
      <c r="O135" s="15" t="s">
        <v>68</v>
      </c>
      <c r="P135" s="16"/>
      <c r="Q135" s="16"/>
      <c r="R135" s="16"/>
      <c r="S135" s="15"/>
      <c r="T135" s="15"/>
      <c r="U135" s="15"/>
      <c r="V135" s="15"/>
    </row>
    <row r="136" spans="5:25" x14ac:dyDescent="0.2">
      <c r="O136" s="7"/>
      <c r="P136" s="7"/>
      <c r="Q136" s="7"/>
      <c r="R136" s="7" t="s">
        <v>37</v>
      </c>
      <c r="S136" s="7"/>
      <c r="T136" s="7"/>
      <c r="U136" s="7"/>
      <c r="V136" s="7"/>
    </row>
    <row r="137" spans="5:25" x14ac:dyDescent="0.2">
      <c r="O137" s="8"/>
      <c r="P137" s="8" t="s">
        <v>38</v>
      </c>
      <c r="Q137" s="8" t="s">
        <v>39</v>
      </c>
      <c r="R137" s="8" t="s">
        <v>40</v>
      </c>
      <c r="S137" s="7"/>
      <c r="T137" s="7"/>
      <c r="U137" s="7"/>
      <c r="V137" s="7"/>
    </row>
    <row r="138" spans="5:25" x14ac:dyDescent="0.2">
      <c r="F138">
        <v>5841752.7761914404</v>
      </c>
      <c r="H138">
        <v>7341461.3683231603</v>
      </c>
      <c r="K138">
        <v>7341461.3683231603</v>
      </c>
      <c r="O138" s="8" t="s">
        <v>41</v>
      </c>
      <c r="P138" s="11">
        <v>130520.043768523</v>
      </c>
      <c r="Q138" s="11">
        <v>1117707.51442924</v>
      </c>
      <c r="R138" s="11">
        <v>154638.763996311</v>
      </c>
      <c r="S138" s="10">
        <f>Q138-P138</f>
        <v>987187.47066071699</v>
      </c>
      <c r="T138" s="10">
        <f>Q138-R138</f>
        <v>963068.75043292902</v>
      </c>
      <c r="U138" s="7">
        <f>T138/S138</f>
        <v>0.97556824722294588</v>
      </c>
      <c r="V138" s="7">
        <f>U138/3+U139/3+U140/3</f>
        <v>0.99026487194285207</v>
      </c>
      <c r="X138">
        <v>154638.763996311</v>
      </c>
    </row>
    <row r="139" spans="5:25" x14ac:dyDescent="0.2">
      <c r="E139">
        <v>5841752.7761914404</v>
      </c>
      <c r="F139">
        <v>265531.64790001902</v>
      </c>
      <c r="G139">
        <v>236625.90309616999</v>
      </c>
      <c r="H139">
        <v>265531.64790001902</v>
      </c>
      <c r="K139">
        <v>13446.273673866501</v>
      </c>
      <c r="O139" s="8" t="s">
        <v>42</v>
      </c>
      <c r="P139" s="11">
        <v>3335.9040625377702</v>
      </c>
      <c r="Q139" s="11">
        <v>96410.398308709206</v>
      </c>
      <c r="R139" s="11">
        <v>3660.2660317236</v>
      </c>
      <c r="S139" s="10">
        <f>Q139-P139</f>
        <v>93074.494246171438</v>
      </c>
      <c r="T139" s="10">
        <f>Q139-R139</f>
        <v>92750.132276985605</v>
      </c>
      <c r="U139" s="7">
        <f>T139/S139</f>
        <v>0.99651502839942452</v>
      </c>
      <c r="V139" s="7"/>
      <c r="X139">
        <v>3660.2660317236</v>
      </c>
    </row>
    <row r="140" spans="5:25" x14ac:dyDescent="0.2">
      <c r="E140">
        <v>643470.91117525101</v>
      </c>
      <c r="F140">
        <v>1985667.60290176</v>
      </c>
      <c r="G140">
        <v>228846.259976345</v>
      </c>
      <c r="H140">
        <v>1985667.60290176</v>
      </c>
      <c r="K140">
        <v>1985667.60290176</v>
      </c>
      <c r="O140" s="8" t="s">
        <v>43</v>
      </c>
      <c r="P140" s="11">
        <v>1601.7941521724999</v>
      </c>
      <c r="Q140" s="11">
        <v>12410.4225181364</v>
      </c>
      <c r="R140" s="11">
        <v>1615.7227969739999</v>
      </c>
      <c r="S140" s="10">
        <f>P140-Q140</f>
        <v>-10808.628365963899</v>
      </c>
      <c r="T140" s="13">
        <f>R140-Q140</f>
        <v>-10794.6997211624</v>
      </c>
      <c r="U140" s="13">
        <f>T140/S140</f>
        <v>0.99871134020618568</v>
      </c>
      <c r="V140" s="7"/>
      <c r="X140">
        <v>1615.7227969739999</v>
      </c>
    </row>
    <row r="141" spans="5:25" x14ac:dyDescent="0.2">
      <c r="E141">
        <v>1985667.60290176</v>
      </c>
      <c r="G141">
        <v>63561.332808575899</v>
      </c>
      <c r="O141" s="7"/>
      <c r="P141" s="10"/>
      <c r="Q141" s="10"/>
      <c r="R141" s="10"/>
      <c r="S141" s="7"/>
      <c r="T141" s="7"/>
      <c r="U141" s="7"/>
      <c r="V141" s="7"/>
    </row>
    <row r="142" spans="5:25" x14ac:dyDescent="0.2">
      <c r="O142" s="7"/>
      <c r="P142" s="10" t="s">
        <v>3</v>
      </c>
      <c r="Q142" s="10" t="s">
        <v>67</v>
      </c>
      <c r="R142" s="10"/>
      <c r="S142" s="7"/>
      <c r="T142" s="7"/>
      <c r="U142" s="7"/>
      <c r="V142" s="7"/>
    </row>
    <row r="143" spans="5:25" x14ac:dyDescent="0.2">
      <c r="H143">
        <v>252296.510877099</v>
      </c>
      <c r="O143" s="7"/>
      <c r="P143" s="10"/>
      <c r="Q143" s="10"/>
      <c r="R143" s="10"/>
      <c r="S143" s="7"/>
      <c r="T143" s="7"/>
      <c r="U143" s="7"/>
      <c r="V143" s="7"/>
      <c r="X143" t="s">
        <v>61</v>
      </c>
    </row>
    <row r="144" spans="5:25" x14ac:dyDescent="0.2">
      <c r="H144">
        <v>200220.552233347</v>
      </c>
      <c r="O144" s="7"/>
      <c r="P144" s="10"/>
      <c r="Q144" s="10"/>
      <c r="R144" s="10"/>
      <c r="S144" s="7"/>
      <c r="T144" s="7"/>
      <c r="U144" s="7"/>
      <c r="V144" s="7"/>
    </row>
    <row r="145" spans="8:22" x14ac:dyDescent="0.2">
      <c r="H145">
        <v>59336.026854390198</v>
      </c>
      <c r="O145" s="7"/>
      <c r="P145" s="10"/>
      <c r="Q145" s="10" t="s">
        <v>44</v>
      </c>
      <c r="R145" s="10" t="s">
        <v>45</v>
      </c>
      <c r="S145" s="7"/>
      <c r="T145" s="7"/>
      <c r="U145" s="7"/>
      <c r="V145" s="7"/>
    </row>
    <row r="146" spans="8:22" x14ac:dyDescent="0.2">
      <c r="O146" s="8" t="s">
        <v>46</v>
      </c>
      <c r="P146" s="9" t="s">
        <v>47</v>
      </c>
      <c r="Q146" s="9" t="s">
        <v>48</v>
      </c>
      <c r="R146" s="9" t="s">
        <v>49</v>
      </c>
      <c r="S146" s="7"/>
      <c r="T146" s="7"/>
      <c r="U146" s="7"/>
      <c r="V146" s="7"/>
    </row>
    <row r="147" spans="8:22" x14ac:dyDescent="0.2">
      <c r="O147" s="8" t="s">
        <v>50</v>
      </c>
      <c r="P147" s="11">
        <v>130520.043768523</v>
      </c>
      <c r="Q147" s="11">
        <v>1117707.51442924</v>
      </c>
      <c r="R147" s="11">
        <v>1117707.51442924</v>
      </c>
      <c r="S147" s="7"/>
      <c r="T147" s="7"/>
      <c r="U147" s="7"/>
      <c r="V147" s="7"/>
    </row>
    <row r="148" spans="8:22" x14ac:dyDescent="0.2">
      <c r="O148" s="8" t="s">
        <v>51</v>
      </c>
      <c r="P148" s="11">
        <v>47741.636080234399</v>
      </c>
      <c r="Q148" s="11">
        <v>3335.9040625377702</v>
      </c>
      <c r="R148" s="11">
        <v>44317.9486524284</v>
      </c>
      <c r="S148" s="7"/>
      <c r="T148" s="7"/>
      <c r="U148" s="7"/>
      <c r="V148" s="7"/>
    </row>
    <row r="149" spans="8:22" x14ac:dyDescent="0.2">
      <c r="O149" s="8" t="s">
        <v>52</v>
      </c>
      <c r="P149" s="11">
        <v>1448.579059356</v>
      </c>
      <c r="Q149" s="11">
        <v>12410.4225181364</v>
      </c>
      <c r="R149" s="11">
        <v>12410.4225181364</v>
      </c>
      <c r="S149" s="7"/>
      <c r="T149" s="7"/>
      <c r="U149" s="7"/>
      <c r="V149" s="7"/>
    </row>
    <row r="150" spans="8:22" x14ac:dyDescent="0.2">
      <c r="O150" s="7"/>
      <c r="P150" s="10"/>
      <c r="Q150" s="10"/>
      <c r="R150" s="10"/>
      <c r="S150" s="7"/>
      <c r="T150" s="7"/>
      <c r="U150" s="7"/>
      <c r="V150" s="7"/>
    </row>
    <row r="151" spans="8:22" x14ac:dyDescent="0.2">
      <c r="O151" s="7"/>
      <c r="P151" s="10" t="s">
        <v>53</v>
      </c>
      <c r="Q151" s="10" t="s">
        <v>54</v>
      </c>
      <c r="R151" s="10" t="s">
        <v>55</v>
      </c>
      <c r="S151" s="7"/>
      <c r="T151" s="7"/>
      <c r="U151" s="7"/>
      <c r="V151" s="7"/>
    </row>
    <row r="152" spans="8:22" x14ac:dyDescent="0.2">
      <c r="O152" s="8" t="s">
        <v>46</v>
      </c>
      <c r="P152" s="9" t="s">
        <v>56</v>
      </c>
      <c r="Q152" s="9" t="s">
        <v>57</v>
      </c>
      <c r="R152" s="9" t="s">
        <v>58</v>
      </c>
      <c r="S152" s="7"/>
      <c r="T152" s="7"/>
      <c r="U152" s="7"/>
      <c r="V152" s="7"/>
    </row>
    <row r="153" spans="8:22" x14ac:dyDescent="0.2">
      <c r="O153" s="8" t="s">
        <v>50</v>
      </c>
      <c r="P153" s="11">
        <v>1117707.51442924</v>
      </c>
      <c r="Q153" s="11">
        <v>1117707.51442924</v>
      </c>
      <c r="R153" s="11">
        <v>149781.39886106201</v>
      </c>
      <c r="S153" s="7"/>
      <c r="T153" s="7"/>
      <c r="U153" s="7"/>
      <c r="V153" s="7"/>
    </row>
    <row r="154" spans="8:22" x14ac:dyDescent="0.2">
      <c r="O154" s="8" t="s">
        <v>51</v>
      </c>
      <c r="P154" s="11">
        <v>44317.9486524284</v>
      </c>
      <c r="Q154" s="11">
        <v>96410.398308709206</v>
      </c>
      <c r="R154" s="11">
        <v>45764.533068820703</v>
      </c>
      <c r="S154" s="7"/>
      <c r="T154" s="7"/>
      <c r="U154" s="7"/>
      <c r="V154" s="7"/>
    </row>
    <row r="155" spans="8:22" x14ac:dyDescent="0.2">
      <c r="O155" s="8" t="s">
        <v>52</v>
      </c>
      <c r="P155" s="11">
        <v>12410.4225181364</v>
      </c>
      <c r="Q155" s="11">
        <v>12410.4225181364</v>
      </c>
      <c r="R155" s="11">
        <v>1601.7941521724999</v>
      </c>
      <c r="S155" s="7"/>
      <c r="T155" s="7"/>
      <c r="U155" s="7"/>
      <c r="V155" s="7"/>
    </row>
    <row r="156" spans="8:22" x14ac:dyDescent="0.2">
      <c r="O156" s="15"/>
      <c r="P156" s="16"/>
      <c r="Q156" s="16"/>
      <c r="R156" s="16"/>
      <c r="S156" s="15"/>
      <c r="T156" s="15"/>
      <c r="U156" s="15"/>
      <c r="V156" s="15"/>
    </row>
    <row r="157" spans="8:22" x14ac:dyDescent="0.2">
      <c r="O157" s="15"/>
      <c r="P157" s="16"/>
      <c r="Q157" s="16"/>
      <c r="R157" s="16"/>
      <c r="S157" s="15"/>
      <c r="T157" s="15"/>
      <c r="U157" s="15"/>
      <c r="V157" s="15"/>
    </row>
    <row r="158" spans="8:22" x14ac:dyDescent="0.2">
      <c r="O158" s="15"/>
      <c r="P158" s="16"/>
      <c r="Q158" s="16"/>
      <c r="R158" s="16"/>
      <c r="S158" s="15"/>
      <c r="T158" s="15"/>
      <c r="U158" s="15"/>
      <c r="V158" s="15"/>
    </row>
    <row r="159" spans="8:22" x14ac:dyDescent="0.2">
      <c r="O159" s="15"/>
      <c r="P159" s="16"/>
      <c r="Q159" s="16"/>
      <c r="R159" s="16"/>
      <c r="S159" s="15"/>
      <c r="T159" s="15"/>
      <c r="U159" s="15"/>
      <c r="V159" s="15"/>
    </row>
    <row r="160" spans="8:22" x14ac:dyDescent="0.2">
      <c r="O160" s="15"/>
      <c r="S160" s="15"/>
      <c r="T160" s="17"/>
      <c r="U160" s="17"/>
      <c r="V160" s="15"/>
    </row>
    <row r="161" spans="15:22" x14ac:dyDescent="0.2">
      <c r="O161" s="15"/>
      <c r="S161" s="15"/>
      <c r="T161" s="17"/>
      <c r="U161" s="17"/>
      <c r="V161" s="15"/>
    </row>
    <row r="162" spans="15:22" x14ac:dyDescent="0.2">
      <c r="O162" s="15"/>
      <c r="S162" s="15"/>
      <c r="T162" s="17"/>
      <c r="U162" s="17"/>
      <c r="V162" s="15"/>
    </row>
    <row r="163" spans="15:22" x14ac:dyDescent="0.2">
      <c r="O163" s="15"/>
      <c r="P163" s="16"/>
      <c r="Q163" s="16"/>
      <c r="R163" s="16"/>
      <c r="S163" s="15"/>
      <c r="T163" s="17"/>
      <c r="U163" s="17"/>
      <c r="V163" s="15"/>
    </row>
    <row r="164" spans="15:22" x14ac:dyDescent="0.2">
      <c r="O164" s="15"/>
      <c r="P164" s="16"/>
      <c r="Q164" s="16"/>
      <c r="R164" s="16"/>
      <c r="S164" s="15"/>
      <c r="T164" s="17"/>
      <c r="U164" s="17"/>
      <c r="V164" s="15"/>
    </row>
    <row r="165" spans="15:22" x14ac:dyDescent="0.2">
      <c r="O165" s="15"/>
      <c r="P165" s="16"/>
      <c r="Q165" s="16"/>
      <c r="R165" s="16"/>
      <c r="S165" s="15"/>
      <c r="T165" s="15"/>
      <c r="U165" s="15"/>
      <c r="V165" s="15"/>
    </row>
    <row r="166" spans="15:22" x14ac:dyDescent="0.2">
      <c r="O166" s="15"/>
      <c r="S166" s="15"/>
      <c r="T166" s="15"/>
      <c r="U166" s="15"/>
      <c r="V166" s="15"/>
    </row>
    <row r="167" spans="15:22" x14ac:dyDescent="0.2">
      <c r="O167" s="15"/>
      <c r="S167" s="15"/>
      <c r="T167" s="15"/>
      <c r="U167" s="15"/>
      <c r="V167" s="15"/>
    </row>
    <row r="168" spans="15:22" x14ac:dyDescent="0.2">
      <c r="O168" s="15"/>
      <c r="S168" s="15"/>
      <c r="T168" s="15"/>
      <c r="U168" s="15"/>
      <c r="V168" s="15"/>
    </row>
    <row r="258" spans="28:28" x14ac:dyDescent="0.2">
      <c r="AB258" t="s">
        <v>59</v>
      </c>
    </row>
    <row r="299" spans="28:28" x14ac:dyDescent="0.2">
      <c r="AB299" t="s">
        <v>60</v>
      </c>
    </row>
  </sheetData>
  <mergeCells count="156">
    <mergeCell ref="F126:G126"/>
    <mergeCell ref="F127:G127"/>
    <mergeCell ref="F128:G128"/>
    <mergeCell ref="F132:G132"/>
    <mergeCell ref="F133:G133"/>
    <mergeCell ref="F134:G134"/>
    <mergeCell ref="B13:C13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73:C73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92:C92"/>
    <mergeCell ref="B86:C86"/>
    <mergeCell ref="B87:C87"/>
    <mergeCell ref="B88:C88"/>
    <mergeCell ref="B89:C89"/>
    <mergeCell ref="B90:C90"/>
    <mergeCell ref="B91:C91"/>
    <mergeCell ref="B85:C85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I15:J15"/>
    <mergeCell ref="I16:J16"/>
    <mergeCell ref="I17:J17"/>
    <mergeCell ref="I18:J18"/>
    <mergeCell ref="I19:J19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25:J25"/>
    <mergeCell ref="I26:J26"/>
    <mergeCell ref="I27:J27"/>
    <mergeCell ref="I28:J28"/>
    <mergeCell ref="I29:J29"/>
    <mergeCell ref="I20:J20"/>
    <mergeCell ref="I21:J21"/>
    <mergeCell ref="I22:J22"/>
    <mergeCell ref="I23:J23"/>
    <mergeCell ref="I24:J24"/>
    <mergeCell ref="I35:J35"/>
    <mergeCell ref="I36:J36"/>
    <mergeCell ref="I37:J37"/>
    <mergeCell ref="I38:J38"/>
    <mergeCell ref="I39:J39"/>
    <mergeCell ref="I30:J30"/>
    <mergeCell ref="I31:J31"/>
    <mergeCell ref="I32:J32"/>
    <mergeCell ref="I33:J33"/>
    <mergeCell ref="I34:J34"/>
    <mergeCell ref="I45:J45"/>
    <mergeCell ref="I46:J46"/>
    <mergeCell ref="I47:J47"/>
    <mergeCell ref="I48:J48"/>
    <mergeCell ref="I49:J49"/>
    <mergeCell ref="I40:J40"/>
    <mergeCell ref="I41:J41"/>
    <mergeCell ref="I42:J42"/>
    <mergeCell ref="I43:J43"/>
    <mergeCell ref="I44:J44"/>
    <mergeCell ref="T160:U164"/>
    <mergeCell ref="I55:J55"/>
    <mergeCell ref="I56:J56"/>
    <mergeCell ref="I57:J57"/>
    <mergeCell ref="I58:J58"/>
    <mergeCell ref="I59:J59"/>
    <mergeCell ref="I50:J50"/>
    <mergeCell ref="I51:J51"/>
    <mergeCell ref="I52:J52"/>
    <mergeCell ref="I53:J53"/>
    <mergeCell ref="I54:J5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6F21-F1D7-45B0-81A4-E9B4A0B583E9}">
  <dimension ref="A1"/>
  <sheetViews>
    <sheetView workbookViewId="0">
      <selection activeCell="F33" sqref="F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C556-B937-4CC2-B274-126AD87183C0}">
  <dimension ref="A1"/>
  <sheetViews>
    <sheetView workbookViewId="0">
      <selection activeCell="K29" sqref="K2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jitianyang</dc:creator>
  <cp:lastModifiedBy>天阳 冀</cp:lastModifiedBy>
  <dcterms:created xsi:type="dcterms:W3CDTF">2015-06-05T18:19:34Z</dcterms:created>
  <dcterms:modified xsi:type="dcterms:W3CDTF">2025-01-18T14:53:22Z</dcterms:modified>
</cp:coreProperties>
</file>